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c8c05543fe24b21" /></Relationships>
</file>

<file path=xl/workbook.xml><?xml version="1.0" encoding="utf-8"?>
<x:workbook xmlns:x="http://schemas.openxmlformats.org/spreadsheetml/2006/main">
  <x:sheets>
    <x:sheet xmlns:r="http://schemas.openxmlformats.org/officeDocument/2006/relationships" name="ダッシュボード" sheetId="1" r:id="R7000d98e304e45cf"/>
    <x:sheet xmlns:r="http://schemas.openxmlformats.org/officeDocument/2006/relationships" name="30日実行計画" sheetId="2" r:id="R5f96c5f09dca4fb9"/>
    <x:sheet xmlns:r="http://schemas.openxmlformats.org/officeDocument/2006/relationships" name="投稿文" sheetId="3" r:id="R49137fa10b3d4117"/>
    <x:sheet xmlns:r="http://schemas.openxmlformats.org/officeDocument/2006/relationships" name="個別連絡先" sheetId="4" r:id="Ref0f14361d6e4502"/>
    <x:sheet xmlns:r="http://schemas.openxmlformats.org/officeDocument/2006/relationships" name="実績入力" sheetId="5" r:id="Rf0a520e0eeba4a10"/>
    <x:sheet xmlns:r="http://schemas.openxmlformats.org/officeDocument/2006/relationships" name="UTM一覧" sheetId="6" r:id="R27b1bfd9d9214d95"/>
    <x:sheet xmlns:r="http://schemas.openxmlformats.org/officeDocument/2006/relationships" name="運用ルール" sheetId="7" r:id="R57dd243442cb49b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
    <x:numFmt numFmtId="202" formatCode="yyyy-mm-dd"/>
    <x:numFmt numFmtId="203" formatCode="0.0%"/>
  </x:numFmts>
  <x:fonts count="7">
    <x:font>
      <x:sz val="11"/>
      <x:name val="Carlito"/>
    </x:font>
    <x:font>
      <x:b/>
      <x:sz val="20"/>
      <x:color rgb="FFFFFFFF"/>
      <x:name val="Carlito"/>
    </x:font>
    <x:font>
      <x:i/>
      <x:sz val="11"/>
      <x:color rgb="FF123B3B"/>
      <x:name val="Carlito"/>
    </x:font>
    <x:font>
      <x:b/>
      <x:sz val="11"/>
      <x:color rgb="FF123B3B"/>
      <x:name val="Carlito"/>
    </x:font>
    <x:font>
      <x:b/>
      <x:sz val="11"/>
      <x:color rgb="FFFFFFFF"/>
      <x:name val="Carlito"/>
    </x:font>
    <x:font>
      <x:sz val="11"/>
      <x:color rgb="FF123B3B"/>
      <x:name val="Carlito"/>
    </x:font>
    <x:font>
      <x:sz val="11"/>
      <x:color rgb="FF1565C0"/>
      <x:name val="Carlito"/>
    </x:font>
  </x:fonts>
  <x:fills count="8">
    <x:fill>
      <x:patternFill patternType="none"/>
    </x:fill>
    <x:fill>
      <x:patternFill patternType="gray125"/>
    </x:fill>
    <x:fill>
      <x:patternFill patternType="solid">
        <x:fgColor rgb="FF123B3B"/>
      </x:patternFill>
    </x:fill>
    <x:fill>
      <x:patternFill patternType="solid">
        <x:fgColor rgb="FFF1F6F2"/>
      </x:patternFill>
    </x:fill>
    <x:fill>
      <x:patternFill patternType="solid">
        <x:fgColor rgb="FFD9EAE4"/>
      </x:patternFill>
    </x:fill>
    <x:fill>
      <x:patternFill patternType="solid">
        <x:fgColor rgb="FF17695F"/>
      </x:patternFill>
    </x:fill>
    <x:fill>
      <x:patternFill patternType="solid">
        <x:fgColor rgb="FFF4C76B"/>
      </x:patternFill>
    </x:fill>
    <x:fill>
      <x:patternFill patternType="solid">
        <x:fgColor rgb="FFFFF6D8"/>
      </x:patternFill>
    </x:fill>
  </x:fills>
  <x:borders count="7">
    <x:border/>
    <x:border>
      <x:left style="thin">
        <x:color rgb="FFD8E3DE"/>
      </x:left>
      <x:top style="thin">
        <x:color rgb="FFD8E3DE"/>
      </x:top>
      <x:bottom style="thin">
        <x:color rgb="FFD8E3DE"/>
      </x:bottom>
    </x:border>
    <x:border>
      <x:top style="thin">
        <x:color rgb="FFD8E3DE"/>
      </x:top>
      <x:bottom style="thin">
        <x:color rgb="FFD8E3DE"/>
      </x:bottom>
    </x:border>
    <x:border>
      <x:right style="thin">
        <x:color rgb="FFD8E3DE"/>
      </x:right>
      <x:top style="thin">
        <x:color rgb="FFD8E3DE"/>
      </x:top>
      <x:bottom style="thin">
        <x:color rgb="FFD8E3DE"/>
      </x:bottom>
    </x:border>
    <x:border>
      <x:bottom style="thin">
        <x:color rgb="FFD8E3DE"/>
      </x:bottom>
    </x:border>
    <x:border>
      <x:left style="thin">
        <x:color rgb="FFD8E3DE"/>
      </x:left>
      <x:right style="thin">
        <x:color rgb="FFD8E3DE"/>
      </x:right>
      <x:top style="thin">
        <x:color rgb="FFD8E3DE"/>
      </x:top>
      <x:bottom style="thin">
        <x:color rgb="FFD8E3DE"/>
      </x:bottom>
    </x:border>
    <x:border>
      <x:top style="thin">
        <x:color rgb="FFD8E3DE"/>
      </x:top>
    </x:border>
  </x:borders>
  <x:cellStyleXfs count="1">
    <x:xf numFmtId="0" fontId="0" fillId="0" borderId="0"/>
  </x:cellStyleXfs>
  <x:cellXfs count="11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1" xfId="0" applyNumberFormat="1" applyFont="1" applyFill="1" applyBorder="1" applyAlignment="1">
      <x:alignment wrapText="1"/>
    </x:xf>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3" fillId="4" borderId="1" xfId="0" applyNumberFormat="1" applyFont="1" applyFill="1" applyBorder="1" applyAlignment="1">
      <x:alignment vertical="center" wrapText="1"/>
    </x:xf>
    <x:xf numFmtId="0" fontId="3" fillId="4" borderId="2" xfId="0" applyNumberFormat="1" applyFont="1" applyFill="1" applyBorder="1" applyAlignment="1">
      <x:alignment vertical="center" wrapText="1"/>
    </x:xf>
    <x:xf numFmtId="0" fontId="3" fillId="4" borderId="3" xfId="0" applyNumberFormat="1" applyFont="1" applyFill="1" applyBorder="1" applyAlignment="1">
      <x:alignment vertical="center" wrapText="1"/>
    </x:xf>
    <x:xf numFmtId="0" fontId="0" fillId="0" borderId="4" xfId="0" applyNumberFormat="1" applyFont="1" applyFill="1" applyBorder="1"/>
    <x:xf numFmtId="0" fontId="0" fillId="0" borderId="2" xfId="0" applyNumberFormat="1" applyFont="1" applyFill="1" applyBorder="1"/>
    <x:xf numFmtId="200" fontId="0" fillId="0" borderId="4" xfId="0" applyNumberFormat="1" applyFont="1" applyFill="1" applyBorder="1"/>
    <x:xf numFmtId="200" fontId="0" fillId="0" borderId="2" xfId="0" applyNumberFormat="1" applyFont="1" applyFill="1" applyBorder="1"/>
    <x:xf numFmtId="201" fontId="0" fillId="0" borderId="4" xfId="0" applyNumberFormat="1" applyFont="1" applyFill="1" applyBorder="1"/>
    <x:xf numFmtId="201" fontId="0" fillId="0" borderId="2" xfId="0" applyNumberFormat="1" applyFont="1" applyFill="1" applyBorder="1"/>
    <x:xf numFmtId="0" fontId="0" fillId="0" borderId="4" xfId="0" applyNumberFormat="1" applyFont="1" applyFill="1" applyBorder="1" applyAlignment="1">
      <x:alignment wrapText="1"/>
    </x:xf>
    <x:xf numFmtId="0" fontId="0" fillId="0" borderId="2"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3" fillId="3" borderId="0" xfId="0" applyNumberFormat="1" applyFont="1" applyFill="1" applyBorder="1"/>
    <x:xf numFmtId="0" fontId="0" fillId="0" borderId="0" xfId="0" applyNumberFormat="1" applyFont="1" applyFill="1" applyBorder="1" applyAlignment="1">
      <x:alignment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wrapText="1"/>
    </x:xf>
    <x:xf numFmtId="0" fontId="3" fillId="4" borderId="5" xfId="0" applyNumberFormat="1" applyFont="1" applyFill="1" applyBorder="1"/>
    <x:xf numFmtId="0" fontId="3" fillId="4" borderId="5" xfId="0" applyNumberFormat="1" applyFont="1" applyFill="1" applyBorder="1" applyAlignment="1">
      <x:alignment wrapText="1"/>
    </x:xf>
    <x:xf numFmtId="0" fontId="3" fillId="4" borderId="5" xfId="0" applyNumberFormat="1" applyFont="1" applyFill="1" applyBorder="1" applyAlignment="1">
      <x:alignment vertical="center" wrapText="1"/>
    </x:xf>
    <x:xf numFmtId="0" fontId="0" fillId="7" borderId="0" xfId="0" applyNumberFormat="1" applyFont="1" applyFill="1" applyBorder="1"/>
    <x:xf numFmtId="0" fontId="5" fillId="7" borderId="0" xfId="0" applyNumberFormat="1" applyFont="1" applyFill="1" applyBorder="1"/>
    <x:xf numFmtId="0" fontId="0" fillId="0" borderId="6" xfId="0" applyNumberFormat="1" applyFont="1" applyFill="1" applyBorder="1"/>
    <x:xf numFmtId="0" fontId="6" fillId="0" borderId="4" xfId="0" applyNumberFormat="1" applyFont="1" applyFill="1" applyBorder="1"/>
    <x:xf numFmtId="0" fontId="6" fillId="0" borderId="2" xfId="0" applyNumberFormat="1" applyFont="1" applyFill="1" applyBorder="1"/>
    <x:xf numFmtId="0" fontId="6" fillId="0" borderId="6" xfId="0" applyNumberFormat="1" applyFont="1" applyFill="1" applyBorder="1"/>
    <x:xf numFmtId="0" fontId="6" fillId="0" borderId="4" xfId="0" applyNumberFormat="1" applyFont="1" applyFill="1" applyBorder="1" applyAlignment="1">
      <x:alignment wrapText="1"/>
    </x:xf>
    <x:xf numFmtId="0" fontId="6" fillId="0" borderId="2" xfId="0" applyNumberFormat="1" applyFont="1" applyFill="1" applyBorder="1" applyAlignment="1">
      <x:alignment wrapText="1"/>
    </x:xf>
    <x:xf numFmtId="0" fontId="6" fillId="0" borderId="6"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4"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6" xfId="0" applyNumberFormat="1" applyFont="1" applyFill="1" applyBorder="1" applyAlignment="1">
      <x:alignment vertical="top" wrapText="1"/>
    </x:xf>
    <x:xf numFmtId="202" fontId="0" fillId="0" borderId="0" xfId="0" applyNumberFormat="1" applyFont="1" applyFill="1" applyBorder="1"/>
    <x:xf numFmtId="202" fontId="0" fillId="0" borderId="4" xfId="0" applyNumberFormat="1" applyFont="1" applyFill="1" applyBorder="1"/>
    <x:xf numFmtId="202" fontId="0" fillId="0" borderId="2" xfId="0" applyNumberFormat="1" applyFont="1" applyFill="1" applyBorder="1"/>
    <x:xf numFmtId="202" fontId="0" fillId="0" borderId="6" xfId="0" applyNumberFormat="1" applyFont="1" applyFill="1" applyBorder="1"/>
    <x:xf numFmtId="202" fontId="0" fillId="0" borderId="4" xfId="0" applyNumberFormat="1" applyFont="1" applyFill="1" applyBorder="1" applyAlignment="1">
      <x:alignment wrapText="1"/>
    </x:xf>
    <x:xf numFmtId="202" fontId="0" fillId="0" borderId="2" xfId="0" applyNumberFormat="1" applyFont="1" applyFill="1" applyBorder="1" applyAlignment="1">
      <x:alignment wrapText="1"/>
    </x:xf>
    <x:xf numFmtId="202" fontId="0" fillId="0" borderId="6" xfId="0" applyNumberFormat="1" applyFont="1" applyFill="1" applyBorder="1" applyAlignment="1">
      <x:alignment wrapText="1"/>
    </x:xf>
    <x:xf numFmtId="202" fontId="0" fillId="0" borderId="4" xfId="0" applyNumberFormat="1" applyFont="1" applyFill="1" applyBorder="1" applyAlignment="1">
      <x:alignment vertical="top" wrapText="1"/>
    </x:xf>
    <x:xf numFmtId="202" fontId="0" fillId="0" borderId="2" xfId="0" applyNumberFormat="1" applyFont="1" applyFill="1" applyBorder="1" applyAlignment="1">
      <x:alignment vertical="top" wrapText="1"/>
    </x:xf>
    <x:xf numFmtId="202" fontId="0" fillId="0" borderId="6" xfId="0" applyNumberFormat="1" applyFont="1" applyFill="1" applyBorder="1" applyAlignment="1">
      <x:alignment vertical="top" wrapText="1"/>
    </x:xf>
    <x:xf numFmtId="202" fontId="0" fillId="7" borderId="0" xfId="0" applyNumberFormat="1" applyFont="1" applyFill="1" applyBorder="1"/>
    <x:xf numFmtId="0" fontId="0" fillId="3" borderId="4" xfId="0" applyNumberFormat="1" applyFont="1" applyFill="1" applyBorder="1"/>
    <x:xf numFmtId="0" fontId="0" fillId="7" borderId="4" xfId="0" applyNumberFormat="1" applyFont="1" applyFill="1" applyBorder="1"/>
    <x:xf numFmtId="202" fontId="0" fillId="7" borderId="4" xfId="0" applyNumberFormat="1" applyFont="1" applyFill="1" applyBorder="1"/>
    <x:xf numFmtId="0" fontId="0" fillId="3" borderId="2" xfId="0" applyNumberFormat="1" applyFont="1" applyFill="1" applyBorder="1"/>
    <x:xf numFmtId="0" fontId="0" fillId="7" borderId="2" xfId="0" applyNumberFormat="1" applyFont="1" applyFill="1" applyBorder="1"/>
    <x:xf numFmtId="202" fontId="0" fillId="7" borderId="2" xfId="0" applyNumberFormat="1" applyFont="1" applyFill="1" applyBorder="1"/>
    <x:xf numFmtId="0" fontId="0" fillId="3" borderId="6" xfId="0" applyNumberFormat="1" applyFont="1" applyFill="1" applyBorder="1"/>
    <x:xf numFmtId="0" fontId="0" fillId="7" borderId="6" xfId="0" applyNumberFormat="1" applyFont="1" applyFill="1" applyBorder="1"/>
    <x:xf numFmtId="202" fontId="0" fillId="7" borderId="6" xfId="0" applyNumberFormat="1" applyFont="1" applyFill="1" applyBorder="1"/>
    <x:xf numFmtId="0" fontId="0" fillId="3" borderId="4" xfId="0" applyNumberFormat="1" applyFont="1" applyFill="1" applyBorder="1" applyAlignment="1">
      <x:alignment wrapText="1"/>
    </x:xf>
    <x:xf numFmtId="0" fontId="0" fillId="7" borderId="4" xfId="0" applyNumberFormat="1" applyFont="1" applyFill="1" applyBorder="1" applyAlignment="1">
      <x:alignment wrapText="1"/>
    </x:xf>
    <x:xf numFmtId="202" fontId="0" fillId="7" borderId="4" xfId="0" applyNumberFormat="1" applyFont="1" applyFill="1" applyBorder="1" applyAlignment="1">
      <x:alignment wrapText="1"/>
    </x:xf>
    <x:xf numFmtId="0" fontId="0" fillId="3" borderId="2" xfId="0" applyNumberFormat="1" applyFont="1" applyFill="1" applyBorder="1" applyAlignment="1">
      <x:alignment wrapText="1"/>
    </x:xf>
    <x:xf numFmtId="0" fontId="0" fillId="7" borderId="2" xfId="0" applyNumberFormat="1" applyFont="1" applyFill="1" applyBorder="1" applyAlignment="1">
      <x:alignment wrapText="1"/>
    </x:xf>
    <x:xf numFmtId="202" fontId="0" fillId="7" borderId="2" xfId="0" applyNumberFormat="1" applyFont="1" applyFill="1" applyBorder="1" applyAlignment="1">
      <x:alignment wrapText="1"/>
    </x:xf>
    <x:xf numFmtId="0" fontId="0" fillId="3" borderId="6" xfId="0" applyNumberFormat="1" applyFont="1" applyFill="1" applyBorder="1" applyAlignment="1">
      <x:alignment wrapText="1"/>
    </x:xf>
    <x:xf numFmtId="0" fontId="0" fillId="7" borderId="6" xfId="0" applyNumberFormat="1" applyFont="1" applyFill="1" applyBorder="1" applyAlignment="1">
      <x:alignment wrapText="1"/>
    </x:xf>
    <x:xf numFmtId="202" fontId="0" fillId="7" borderId="6" xfId="0" applyNumberFormat="1" applyFont="1" applyFill="1" applyBorder="1" applyAlignment="1">
      <x:alignment wrapText="1"/>
    </x:xf>
    <x:xf numFmtId="0" fontId="0" fillId="3" borderId="4" xfId="0" applyNumberFormat="1" applyFont="1" applyFill="1" applyBorder="1" applyAlignment="1">
      <x:alignment vertical="top" wrapText="1"/>
    </x:xf>
    <x:xf numFmtId="0" fontId="0" fillId="7" borderId="4" xfId="0" applyNumberFormat="1" applyFont="1" applyFill="1" applyBorder="1" applyAlignment="1">
      <x:alignment vertical="top" wrapText="1"/>
    </x:xf>
    <x:xf numFmtId="202" fontId="0" fillId="7" borderId="4" xfId="0" applyNumberFormat="1" applyFont="1" applyFill="1" applyBorder="1" applyAlignment="1">
      <x:alignment vertical="top" wrapText="1"/>
    </x:xf>
    <x:xf numFmtId="0" fontId="0" fillId="3" borderId="2" xfId="0" applyNumberFormat="1" applyFont="1" applyFill="1" applyBorder="1" applyAlignment="1">
      <x:alignment vertical="top" wrapText="1"/>
    </x:xf>
    <x:xf numFmtId="0" fontId="0" fillId="7" borderId="2" xfId="0" applyNumberFormat="1" applyFont="1" applyFill="1" applyBorder="1" applyAlignment="1">
      <x:alignment vertical="top" wrapText="1"/>
    </x:xf>
    <x:xf numFmtId="202" fontId="0" fillId="7" borderId="2" xfId="0" applyNumberFormat="1" applyFont="1" applyFill="1" applyBorder="1" applyAlignment="1">
      <x:alignment vertical="top" wrapText="1"/>
    </x:xf>
    <x:xf numFmtId="0" fontId="0" fillId="3" borderId="6" xfId="0" applyNumberFormat="1" applyFont="1" applyFill="1" applyBorder="1" applyAlignment="1">
      <x:alignment vertical="top" wrapText="1"/>
    </x:xf>
    <x:xf numFmtId="0" fontId="0" fillId="7" borderId="6" xfId="0" applyNumberFormat="1" applyFont="1" applyFill="1" applyBorder="1" applyAlignment="1">
      <x:alignment vertical="top" wrapText="1"/>
    </x:xf>
    <x:xf numFmtId="202" fontId="0" fillId="7" borderId="6" xfId="0" applyNumberFormat="1" applyFont="1" applyFill="1" applyBorder="1" applyAlignment="1">
      <x:alignment vertical="top" wrapText="1"/>
    </x:xf>
    <x:xf numFmtId="0" fontId="5" fillId="7" borderId="0" xfId="0" applyNumberFormat="1" applyFont="1" applyFill="1" applyBorder="1" applyAlignment="1">
      <x:alignment wrapText="1"/>
    </x:xf>
    <x:xf numFmtId="200" fontId="0" fillId="7" borderId="0" xfId="0" applyNumberFormat="1" applyFont="1" applyFill="1" applyBorder="1"/>
    <x:xf numFmtId="203" fontId="0" fillId="0" borderId="0" xfId="0" applyNumberFormat="1" applyFont="1" applyFill="1" applyBorder="1"/>
    <x:xf numFmtId="200" fontId="0" fillId="7" borderId="4" xfId="0" applyNumberFormat="1" applyFont="1" applyFill="1" applyBorder="1"/>
    <x:xf numFmtId="203" fontId="0" fillId="0" borderId="4" xfId="0" applyNumberFormat="1" applyFont="1" applyFill="1" applyBorder="1"/>
    <x:xf numFmtId="200" fontId="0" fillId="7" borderId="2" xfId="0" applyNumberFormat="1" applyFont="1" applyFill="1" applyBorder="1"/>
    <x:xf numFmtId="203" fontId="0" fillId="0" borderId="2" xfId="0" applyNumberFormat="1" applyFont="1" applyFill="1" applyBorder="1"/>
    <x:xf numFmtId="200" fontId="0" fillId="7" borderId="6" xfId="0" applyNumberFormat="1" applyFont="1" applyFill="1" applyBorder="1"/>
    <x:xf numFmtId="203" fontId="0" fillId="0" borderId="6" xfId="0" applyNumberFormat="1" applyFont="1" applyFill="1" applyBorder="1"/>
    <x:xf numFmtId="202" fontId="0" fillId="7" borderId="4" xfId="0" applyNumberFormat="1" applyFont="1" applyFill="1" applyBorder="1" applyAlignment="1">
      <x:alignment vertical="top"/>
    </x:xf>
    <x:xf numFmtId="0" fontId="0" fillId="7" borderId="4" xfId="0" applyNumberFormat="1" applyFont="1" applyFill="1" applyBorder="1" applyAlignment="1">
      <x:alignment vertical="top"/>
    </x:xf>
    <x:xf numFmtId="200" fontId="0" fillId="7" borderId="4" xfId="0" applyNumberFormat="1" applyFont="1" applyFill="1" applyBorder="1" applyAlignment="1">
      <x:alignment vertical="top"/>
    </x:xf>
    <x:xf numFmtId="203" fontId="0" fillId="0" borderId="4" xfId="0" applyNumberFormat="1" applyFont="1" applyFill="1" applyBorder="1" applyAlignment="1">
      <x:alignment vertical="top"/>
    </x:xf>
    <x:xf numFmtId="202" fontId="0" fillId="7" borderId="2" xfId="0" applyNumberFormat="1" applyFont="1" applyFill="1" applyBorder="1" applyAlignment="1">
      <x:alignment vertical="top"/>
    </x:xf>
    <x:xf numFmtId="0" fontId="0" fillId="7" borderId="2" xfId="0" applyNumberFormat="1" applyFont="1" applyFill="1" applyBorder="1" applyAlignment="1">
      <x:alignment vertical="top"/>
    </x:xf>
    <x:xf numFmtId="200" fontId="0" fillId="7" borderId="2" xfId="0" applyNumberFormat="1" applyFont="1" applyFill="1" applyBorder="1" applyAlignment="1">
      <x:alignment vertical="top"/>
    </x:xf>
    <x:xf numFmtId="203" fontId="0" fillId="0" borderId="2" xfId="0" applyNumberFormat="1" applyFont="1" applyFill="1" applyBorder="1" applyAlignment="1">
      <x:alignment vertical="top"/>
    </x:xf>
    <x:xf numFmtId="202" fontId="0" fillId="7" borderId="6" xfId="0" applyNumberFormat="1" applyFont="1" applyFill="1" applyBorder="1" applyAlignment="1">
      <x:alignment vertical="top"/>
    </x:xf>
    <x:xf numFmtId="0" fontId="0" fillId="7" borderId="6" xfId="0" applyNumberFormat="1" applyFont="1" applyFill="1" applyBorder="1" applyAlignment="1">
      <x:alignment vertical="top"/>
    </x:xf>
    <x:xf numFmtId="200" fontId="0" fillId="7" borderId="6" xfId="0" applyNumberFormat="1" applyFont="1" applyFill="1" applyBorder="1" applyAlignment="1">
      <x:alignment vertical="top"/>
    </x:xf>
    <x:xf numFmtId="203" fontId="0" fillId="0" borderId="6" xfId="0" applyNumberFormat="1" applyFont="1" applyFill="1" applyBorder="1" applyAlignment="1">
      <x:alignment vertical="top"/>
    </x:xf>
    <x:xf numFmtId="0" fontId="3" fillId="3" borderId="4" xfId="0" applyNumberFormat="1" applyFont="1" applyFill="1" applyBorder="1"/>
    <x:xf numFmtId="0" fontId="3" fillId="3" borderId="2" xfId="0" applyNumberFormat="1" applyFont="1" applyFill="1" applyBorder="1"/>
    <x:xf numFmtId="0" fontId="3" fillId="3" borderId="6" xfId="0" applyNumberFormat="1" applyFont="1" applyFill="1" applyBorder="1"/>
    <x:xf numFmtId="0" fontId="3" fillId="3" borderId="4" xfId="0" applyNumberFormat="1" applyFont="1" applyFill="1" applyBorder="1" applyAlignment="1">
      <x:alignment wrapText="1"/>
    </x:xf>
    <x:xf numFmtId="0" fontId="3" fillId="3" borderId="2" xfId="0" applyNumberFormat="1" applyFont="1" applyFill="1" applyBorder="1" applyAlignment="1">
      <x:alignment wrapText="1"/>
    </x:xf>
    <x:xf numFmtId="0" fontId="3" fillId="3" borderId="6" xfId="0" applyNumberFormat="1" applyFont="1" applyFill="1" applyBorder="1" applyAlignment="1">
      <x:alignment wrapText="1"/>
    </x:xf>
    <x:xf numFmtId="0" fontId="3" fillId="3" borderId="4" xfId="0" applyNumberFormat="1" applyFont="1" applyFill="1" applyBorder="1" applyAlignment="1">
      <x:alignment vertical="top" wrapText="1"/>
    </x:xf>
    <x:xf numFmtId="0" fontId="3" fillId="3" borderId="2" xfId="0" applyNumberFormat="1" applyFont="1" applyFill="1" applyBorder="1" applyAlignment="1">
      <x:alignment vertical="top" wrapText="1"/>
    </x:xf>
    <x:xf numFmtId="0" fontId="3" fillId="3" borderId="6" xfId="0" applyNumberFormat="1" applyFont="1" applyFill="1" applyBorder="1" applyAlignment="1">
      <x:alignment vertical="top" wrapText="1"/>
    </x:xf>
  </x:cellXfs>
  <x:cellStyles count="1">
    <x:cellStyle name="Normal" xfId="0"/>
  </x:cellStyles>
  <x:dxfs count="4">
    <x:dxf>
      <x:font>
        <x:b/>
        <x:color rgb="FF123B3B"/>
      </x:font>
      <x:fill>
        <x:patternFill patternType="solid">
          <x:bgColor rgb="FFDFF3E8"/>
        </x:patternFill>
      </x:fill>
    </x:dxf>
    <x:dxf>
      <x:font>
        <x:b/>
        <x:color rgb="FF123B3B"/>
      </x:font>
      <x:fill>
        <x:patternFill patternType="solid">
          <x:bgColor rgb="FFDDEBFA"/>
        </x:patternFill>
      </x:fill>
    </x:dxf>
    <x:dxf>
      <x:font>
        <x:b/>
        <x:color rgb="FF123B3B"/>
      </x:font>
      <x:fill>
        <x:patternFill patternType="solid">
          <x:bgColor rgb="FFFCE4E4"/>
        </x:patternFill>
      </x:fill>
    </x:dxf>
    <x:dxf>
      <x:font>
        <x:b/>
        <x:color rgb="FF17695F"/>
      </x:font>
      <x:fill>
        <x:patternFill patternType="solid">
          <x:bgColor rgb="FFDFF3E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6c1c6121dc848f4" /><Relationship Type="http://schemas.openxmlformats.org/officeDocument/2006/relationships/theme" Target="/xl/theme/theme1.xml" Id="Rd5d29a573a9b44b5" /><Relationship Type="http://schemas.openxmlformats.org/officeDocument/2006/relationships/sharedStrings" Target="/xl/sharedStrings.xml" Id="R963ed9f801e74e15" /><Relationship Type="http://schemas.openxmlformats.org/officeDocument/2006/relationships/worksheet" Target="/xl/worksheets/sheet1.xml" Id="R7000d98e304e45cf" /><Relationship Type="http://schemas.openxmlformats.org/officeDocument/2006/relationships/worksheet" Target="/xl/worksheets/sheet2.xml" Id="R5f96c5f09dca4fb9" /><Relationship Type="http://schemas.openxmlformats.org/officeDocument/2006/relationships/worksheet" Target="/xl/worksheets/sheet3.xml" Id="R49137fa10b3d4117" /><Relationship Type="http://schemas.openxmlformats.org/officeDocument/2006/relationships/worksheet" Target="/xl/worksheets/sheet4.xml" Id="Ref0f14361d6e4502" /><Relationship Type="http://schemas.openxmlformats.org/officeDocument/2006/relationships/worksheet" Target="/xl/worksheets/sheet5.xml" Id="Rf0a520e0eeba4a10" /><Relationship Type="http://schemas.openxmlformats.org/officeDocument/2006/relationships/worksheet" Target="/xl/worksheets/sheet6.xml" Id="R27b1bfd9d9214d95" /><Relationship Type="http://schemas.openxmlformats.org/officeDocument/2006/relationships/worksheet" Target="/xl/worksheets/sheet7.xml" Id="R57dd243442cb49b7" /></Relationships>
</file>

<file path=xl/drawings/_rels/drawing1.xml.rels>&#65279;<?xml version="1.0" encoding="utf-8"?><Relationships xmlns="http://schemas.openxmlformats.org/package/2006/relationships"><Relationship Type="http://schemas.openxmlformats.org/officeDocument/2006/relationships/chart" Target="/xl/drawings/charts/chart1.xml" Id="R222bec1dc37e4360"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30日目標と実績</a:t>
            </a:r>
          </a:p>
        </c:rich>
      </c:tx>
    </c:title>
    <c:plotArea>
      <c:barChart>
        <c:barDir val="col"/>
        <c:varyColors val="0"/>
        <c:ser>
          <c:idx val="0"/>
          <c:order val="0"/>
          <c:tx>
            <c:v>30日目標</c:v>
          </c:tx>
          <c:cat>
            <c:strRef>
              <c:f>'ダッシュボード'!$A$6:$A$12</c:f>
              <c:strCache>
                <c:ptCount val="0"/>
              </c:strCache>
            </c:strRef>
          </c:cat>
          <c:val>
            <c:numRef>
              <c:f>'ダッシュボード'!$B$6:$B$12</c:f>
              <c:numCache>
                <c:formatCode>#,##0</c:formatCode>
                <c:ptCount val="0"/>
              </c:numCache>
            </c:numRef>
          </c:val>
        </c:ser>
        <c:ser>
          <c:idx val="1"/>
          <c:order val="1"/>
          <c:tx>
            <c:v>実績</c:v>
          </c:tx>
          <c:cat>
            <c:strRef>
              <c:f>'ダッシュボード'!$A$6:$A$12</c:f>
              <c:strCache>
                <c:ptCount val="0"/>
              </c:strCache>
            </c:strRef>
          </c:cat>
          <c:val>
            <c:numRef>
              <c:f>'ダッシュボード'!$C$6:$C$12</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pPr>
          </a:p>
        </c:txPr>
        <c:crossAx val="48672768"/>
        <c:lblAlgn val="ctr"/>
        <c:lblOffset val="100"/>
        <c:noMultiLvlLbl val="0"/>
      </c:catAx>
      <c:valAx>
        <c:axId val="48672768"/>
        <c:scaling>
          <c:orientation val="minMax"/>
          <c:min val="0"/>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4</xdr:row>
      <xdr:rowOff>0</xdr:rowOff>
    </xdr:from>
    <xdr:to>
      <xdr:col>14</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22bec1dc37e4360"/>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3b5184476b8346ef" /></Relationships>
</file>

<file path=xl/worksheets/sheet1.xml><?xml version="1.0" encoding="utf-8"?>
<x:worksheet xmlns:x="http://schemas.openxmlformats.org/spreadsheetml/2006/main">
  <x:sheetViews>
    <x:sheetView showGridLines="0" workbookViewId="0"/>
  </x:sheetViews>
  <x:sheetFormatPr defaultRowHeight="15"/>
  <x:cols>
    <x:col min="1" max="1" width="20" hidden="0" customWidth="1"/>
    <x:col min="2" max="2" width="13" hidden="0" customWidth="1"/>
    <x:col min="3" max="3" width="13" hidden="0" customWidth="1"/>
    <x:col min="4" max="4" width="13" hidden="0" customWidth="1"/>
    <x:col min="5" max="5" width="34" hidden="0" customWidth="1"/>
    <x:col min="6" max="6" width="3"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s>
  <x:sheetData>
    <x:row r="1" ht="30" customHeight="1">
      <x:c r="A1" s="3" t="str">
        <x:v>Live Interpreter 無料広報ダッシュボード</x:v>
      </x:c>
      <x:c r="B1" s="3"/>
      <x:c r="C1" s="3"/>
      <x:c r="D1" s="3"/>
      <x:c r="E1" s="3"/>
      <x:c r="F1" s="3"/>
      <x:c r="G1" s="3"/>
      <x:c r="H1" s="3"/>
    </x:row>
    <x:row r="2" ht="30" customHeight="1">
      <x:c r="A2" s="3"/>
      <x:c r="B2" s="3"/>
      <x:c r="C2" s="3"/>
      <x:c r="D2" s="3"/>
      <x:c r="E2" s="3"/>
      <x:c r="F2" s="3"/>
      <x:c r="G2" s="3"/>
      <x:c r="H2" s="3"/>
    </x:row>
    <x:row r="3">
      <x:c r="A3" s="6" t="str">
        <x:v>有料広告は使わず、利用場面別の発信と個別紹介で「実際の通訳開始」を増やす。</x:v>
      </x:c>
      <x:c r="B3" s="6"/>
      <x:c r="C3" s="6"/>
      <x:c r="D3" s="6"/>
      <x:c r="E3" s="6"/>
      <x:c r="F3" s="6"/>
      <x:c r="G3" s="6"/>
      <x:c r="H3" s="6"/>
    </x:row>
    <x:row r="5">
      <x:c r="A5" s="15" t="str">
        <x:v>指標</x:v>
      </x:c>
      <x:c r="B5" s="16" t="str">
        <x:v>30日目標</x:v>
      </x:c>
      <x:c r="C5" s="16" t="str">
        <x:v>実績</x:v>
      </x:c>
      <x:c r="D5" s="16" t="str">
        <x:v>達成率</x:v>
      </x:c>
      <x:c r="E5" s="17" t="str">
        <x:v>定義</x:v>
      </x:c>
    </x:row>
    <x:row r="6">
      <x:c r="A6" s="18" t="str">
        <x:v>サイト訪問</x:v>
      </x:c>
      <x:c r="B6" s="20" t="n">
        <x:v>100</x:v>
      </x:c>
      <x:c r="C6" s="20" t="n">
        <x:f>SUM('実績入力'!$D$5:$D$34)</x:f>
        <x:v>0</x:v>
      </x:c>
      <x:c r="D6" s="22" t="n">
        <x:f>IFERROR(C6/B6,0)</x:f>
        <x:v>0</x:v>
      </x:c>
      <x:c r="E6" s="24" t="str">
        <x:v>キャンペーンURLの訪問数</x:v>
      </x:c>
    </x:row>
    <x:row r="7">
      <x:c r="A7" s="19" t="str">
        <x:v>新規登録</x:v>
      </x:c>
      <x:c r="B7" s="21" t="n">
        <x:v>20</x:v>
      </x:c>
      <x:c r="C7" s="21" t="n">
        <x:f>SUM('実績入力'!$E$5:$E$34)</x:f>
        <x:v>0</x:v>
      </x:c>
      <x:c r="D7" s="23" t="n">
        <x:f>IFERROR(C7/B7,0)</x:f>
        <x:v>0</x:v>
      </x:c>
      <x:c r="E7" s="25" t="str">
        <x:v>無料会員登録数</x:v>
      </x:c>
    </x:row>
    <x:row r="8">
      <x:c r="A8" s="19" t="str">
        <x:v>メール確認</x:v>
      </x:c>
      <x:c r="B8" s="21" t="n">
        <x:v>12</x:v>
      </x:c>
      <x:c r="C8" s="21" t="n">
        <x:f>SUM('実績入力'!$F$5:$F$34)</x:f>
        <x:v>0</x:v>
      </x:c>
      <x:c r="D8" s="23" t="n">
        <x:f>IFERROR(C8/B8,0)</x:f>
        <x:v>0</x:v>
      </x:c>
      <x:c r="E8" s="25" t="str">
        <x:v>メール確認完了数</x:v>
      </x:c>
    </x:row>
    <x:row r="9">
      <x:c r="A9" s="19" t="str">
        <x:v>通訳開始</x:v>
      </x:c>
      <x:c r="B9" s="21" t="n">
        <x:v>8</x:v>
      </x:c>
      <x:c r="C9" s="21" t="n">
        <x:f>SUM('実績入力'!$G$5:$G$34)</x:f>
        <x:v>0</x:v>
      </x:c>
      <x:c r="D9" s="23" t="n">
        <x:f>IFERROR(C9/B9,0)</x:f>
        <x:v>0</x:v>
      </x:c>
      <x:c r="E9" s="25" t="str">
        <x:v>実際に通訳を開始した人数</x:v>
      </x:c>
    </x:row>
    <x:row r="10">
      <x:c r="A10" s="19" t="str">
        <x:v>5分以上利用</x:v>
      </x:c>
      <x:c r="B10" s="21" t="n">
        <x:v>5</x:v>
      </x:c>
      <x:c r="C10" s="21" t="n">
        <x:f>SUM('実績入力'!$H$5:$H$34)</x:f>
        <x:v>0</x:v>
      </x:c>
      <x:c r="D10" s="23" t="n">
        <x:f>IFERROR(C10/B10,0)</x:f>
        <x:v>0</x:v>
      </x:c>
      <x:c r="E10" s="25" t="str">
        <x:v>1セッション5分以上の利用者</x:v>
      </x:c>
    </x:row>
    <x:row r="11">
      <x:c r="A11" s="19" t="str">
        <x:v>感想獲得</x:v>
      </x:c>
      <x:c r="B11" s="21" t="n">
        <x:v>3</x:v>
      </x:c>
      <x:c r="C11" s="21" t="n">
        <x:f>SUM('実績入力'!$I$5:$I$34)</x:f>
        <x:v>0</x:v>
      </x:c>
      <x:c r="D11" s="23" t="n">
        <x:f>IFERROR(C11/B11,0)</x:f>
        <x:v>0</x:v>
      </x:c>
      <x:c r="E11" s="25" t="str">
        <x:v>掲載可能な感想の数</x:v>
      </x:c>
    </x:row>
    <x:row r="12">
      <x:c r="A12" s="19" t="str">
        <x:v>有料購入</x:v>
      </x:c>
      <x:c r="B12" s="21" t="n">
        <x:v>1</x:v>
      </x:c>
      <x:c r="C12" s="21" t="n">
        <x:f>SUM('実績入力'!$J$5:$J$34)</x:f>
        <x:v>0</x:v>
      </x:c>
      <x:c r="D12" s="23" t="n">
        <x:f>IFERROR(C12/B12,0)</x:f>
        <x:v>0</x:v>
      </x:c>
      <x:c r="E12" s="25" t="str">
        <x:v>通訳時間の購入者数</x:v>
      </x:c>
    </x:row>
    <x:row r="15">
      <x:c r="A15" s="28" t="str">
        <x:v>現在の実行状態</x:v>
      </x:c>
      <x:c r="B15" s="28"/>
      <x:c r="C15" s="28"/>
      <x:c r="D15" s="28"/>
      <x:c r="E15" s="28"/>
    </x:row>
    <x:row r="16">
      <x:c r="A16" s="29" t="str">
        <x:v>サイト公開</x:v>
      </x:c>
      <x:c r="B16" s="30" t="str">
        <x:v>稼働中</x:v>
      </x:c>
    </x:row>
    <x:row r="17">
      <x:c r="A17" s="29" t="str">
        <x:v>SEO・SNS共有基盤</x:v>
      </x:c>
      <x:c r="B17" s="30" t="str">
        <x:v>ローカル実装・検証済み</x:v>
      </x:c>
    </x:row>
    <x:row r="18">
      <x:c r="A18" s="29" t="str">
        <x:v>本番反映</x:v>
      </x:c>
      <x:c r="B18" s="30" t="str">
        <x:v>GitHub再認証待ち</x:v>
      </x:c>
    </x:row>
    <x:row r="19">
      <x:c r="A19" s="29" t="str">
        <x:v>デモ動画</x:v>
      </x:c>
      <x:c r="B19" s="30" t="str">
        <x:v>既存の50秒動画を使用</x:v>
      </x:c>
    </x:row>
    <x:row r="20">
      <x:c r="A20" s="29" t="str">
        <x:v>広告費</x:v>
      </x:c>
      <x:c r="B20" s="30" t="str">
        <x:v>0円</x:v>
      </x:c>
    </x:row>
    <x:row r="22">
      <x:c r="A22" s="33" t="str">
        <x:v>判定基準：「いいね」ではなく、メール確認後に実際に通訳を開始した人数で改善を判断する。</x:v>
      </x:c>
      <x:c r="B22" s="33"/>
      <x:c r="C22" s="33"/>
      <x:c r="D22" s="33"/>
      <x:c r="E22" s="33"/>
      <x:c r="F22" s="33"/>
      <x:c r="G22" s="33"/>
      <x:c r="H22" s="33"/>
    </x:row>
  </x:sheetData>
  <x:mergeCells>
    <x:mergeCell ref="A1:H2"/>
    <x:mergeCell ref="A3:H3"/>
    <x:mergeCell ref="A15:E15"/>
    <x:mergeCell ref="A22:H22"/>
  </x:mergeCells>
  <x:conditionalFormatting sqref="D6:D12">
    <x:cfRule type="colorScale" priority="1">
      <x:colorScale>
        <x:cfvo type="min"/>
        <x:cfvo type="percentile" val="50"/>
        <x:cfvo type="max"/>
        <x:color rgb="FFF4CCCC"/>
        <x:color rgb="FFFFF2CC"/>
        <x:color rgb="FFD9EAD3"/>
      </x:colorScale>
    </x:cfRule>
  </x:conditionalFormatting>
  <x:pageMargins left="0.7" right="0.7" top="0.75" bottom="0.75" header="0.3" footer="0.3"/>
  <x:drawing xmlns:r="http://schemas.openxmlformats.org/officeDocument/2006/relationships" r:id="R3b5184476b8346ef"/>
</x:worksheet>
</file>

<file path=xl/worksheets/sheet2.xml><?xml version="1.0" encoding="utf-8"?>
<x:worksheet xmlns:x="http://schemas.openxmlformats.org/spreadsheetml/2006/main">
  <x:sheetViews>
    <x:sheetView showGridLines="0" workbookViewId="0"/>
  </x:sheetViews>
  <x:sheetFormatPr defaultRowHeight="15"/>
  <x:cols>
    <x:col min="1" max="1" width="13" hidden="0" customWidth="1"/>
    <x:col min="2" max="2" width="7" hidden="0" customWidth="1"/>
    <x:col min="3" max="3" width="11" hidden="0" customWidth="1"/>
    <x:col min="4" max="4" width="42" hidden="0" customWidth="1"/>
    <x:col min="5" max="5" width="28" hidden="0" customWidth="1"/>
    <x:col min="6" max="6" width="28" hidden="0" customWidth="1"/>
    <x:col min="7" max="7" width="20" hidden="0" customWidth="1"/>
    <x:col min="8" max="8" width="12" hidden="0" customWidth="1"/>
    <x:col min="9" max="9" width="32" hidden="0" customWidth="1"/>
  </x:cols>
  <x:sheetData>
    <x:row r="1">
      <x:c r="A1" s="3" t="str">
        <x:v>Live Interpreter 30日無料広報実行計画</x:v>
      </x:c>
      <x:c r="B1" s="3"/>
      <x:c r="C1" s="3"/>
      <x:c r="D1" s="3"/>
      <x:c r="E1" s="3"/>
      <x:c r="F1" s="3"/>
      <x:c r="G1" s="3"/>
      <x:c r="H1" s="3"/>
      <x:c r="I1" s="3"/>
    </x:row>
    <x:row r="2">
      <x:c r="A2" s="3"/>
      <x:c r="B2" s="3"/>
      <x:c r="C2" s="3"/>
      <x:c r="D2" s="3"/>
      <x:c r="E2" s="3"/>
      <x:c r="F2" s="3"/>
      <x:c r="G2" s="3"/>
      <x:c r="H2" s="3"/>
      <x:c r="I2" s="3"/>
    </x:row>
    <x:row r="4">
      <x:c r="A4" s="15" t="str">
        <x:v>日付</x:v>
      </x:c>
      <x:c r="B4" s="16" t="str">
        <x:v>Day</x:v>
      </x:c>
      <x:c r="C4" s="16" t="str">
        <x:v>重要度</x:v>
      </x:c>
      <x:c r="D4" s="16" t="str">
        <x:v>実行項目</x:v>
      </x:c>
      <x:c r="E4" s="16" t="str">
        <x:v>対象/チャネル</x:v>
      </x:c>
      <x:c r="F4" s="16" t="str">
        <x:v>使用素材</x:v>
      </x:c>
      <x:c r="G4" s="16" t="str">
        <x:v>目標</x:v>
      </x:c>
      <x:c r="H4" s="16" t="str">
        <x:v>状態</x:v>
      </x:c>
      <x:c r="I4" s="17" t="str">
        <x:v>実績・メモ</x:v>
      </x:c>
    </x:row>
    <x:row r="5">
      <x:c r="A5" s="57" t="n">
        <x:v>46218</x:v>
      </x:c>
      <x:c r="B5" s="47" t="n">
        <x:v>1</x:v>
      </x:c>
      <x:c r="C5" s="47" t="str">
        <x:v>最優先</x:v>
      </x:c>
      <x:c r="D5" s="47" t="str">
        <x:v>SEO・SNS共有メタデータを実装</x:v>
      </x:c>
      <x:c r="E5" s="47" t="str">
        <x:v>Webサイト</x:v>
      </x:c>
      <x:c r="F5" s="47" t="str">
        <x:v>OG画像・robots・sitemap</x:v>
      </x:c>
      <x:c r="G5" s="47" t="str">
        <x:v>ローカル検証完了</x:v>
      </x:c>
      <x:c r="H5" s="47" t="str">
        <x:v>完了</x:v>
      </x:c>
      <x:c r="I5" s="47" t="str"/>
    </x:row>
    <x:row r="6">
      <x:c r="A6" s="58" t="n">
        <x:v>46219</x:v>
      </x:c>
      <x:c r="B6" s="48" t="n">
        <x:v>2</x:v>
      </x:c>
      <x:c r="C6" s="48" t="str">
        <x:v>最優先</x:v>
      </x:c>
      <x:c r="D6" s="48" t="str">
        <x:v>GitHubを再認証し、改修を本番へ反映</x:v>
      </x:c>
      <x:c r="E6" s="48" t="str">
        <x:v>GitHub / ConoHa</x:v>
      </x:c>
      <x:c r="F6" s="48" t="str">
        <x:v>コミット ae02fb1</x:v>
      </x:c>
      <x:c r="G6" s="48" t="str">
        <x:v>デプロイ成功</x:v>
      </x:c>
      <x:c r="H6" s="48" t="str">
        <x:v>保留</x:v>
      </x:c>
      <x:c r="I6" s="48" t="str"/>
    </x:row>
    <x:row r="7">
      <x:c r="A7" s="58" t="n">
        <x:v>46220</x:v>
      </x:c>
      <x:c r="B7" s="48" t="n">
        <x:v>3</x:v>
      </x:c>
      <x:c r="C7" s="48" t="str">
        <x:v>最優先</x:v>
      </x:c>
      <x:c r="D7" s="48" t="str">
        <x:v>本番で登録→メール確認→通訳開始を通し確認</x:v>
      </x:c>
      <x:c r="E7" s="48" t="str">
        <x:v>Webサイト</x:v>
      </x:c>
      <x:c r="F7" s="48" t="str">
        <x:v>テストアカウント</x:v>
      </x:c>
      <x:c r="G7" s="48" t="str">
        <x:v>1回成功</x:v>
      </x:c>
      <x:c r="H7" s="48" t="str">
        <x:v>未着手</x:v>
      </x:c>
      <x:c r="I7" s="48" t="str"/>
    </x:row>
    <x:row r="8">
      <x:c r="A8" s="58" t="n">
        <x:v>46221</x:v>
      </x:c>
      <x:c r="B8" s="48" t="n">
        <x:v>4</x:v>
      </x:c>
      <x:c r="C8" s="48" t="str">
        <x:v>高</x:v>
      </x:c>
      <x:c r="D8" s="48" t="str">
        <x:v>Google Search Consoleに登録しsitemapを送信</x:v>
      </x:c>
      <x:c r="E8" s="48" t="str">
        <x:v>Google検索</x:v>
      </x:c>
      <x:c r="F8" s="48" t="str">
        <x:v>sitemap.xml</x:v>
      </x:c>
      <x:c r="G8" s="48" t="str">
        <x:v>所有権確認・送信</x:v>
      </x:c>
      <x:c r="H8" s="48" t="str">
        <x:v>未着手</x:v>
      </x:c>
      <x:c r="I8" s="48" t="str"/>
    </x:row>
    <x:row r="9">
      <x:c r="A9" s="58" t="n">
        <x:v>46222</x:v>
      </x:c>
      <x:c r="B9" s="48" t="n">
        <x:v>5</x:v>
      </x:c>
      <x:c r="C9" s="48" t="str">
        <x:v>高</x:v>
      </x:c>
      <x:c r="D9" s="48" t="str">
        <x:v>既存デモ動画をYouTubeへ公開</x:v>
      </x:c>
      <x:c r="E9" s="48" t="str">
        <x:v>YouTube</x:v>
      </x:c>
      <x:c r="F9" s="48" t="str">
        <x:v>50秒デモ動画</x:v>
      </x:c>
      <x:c r="G9" s="48" t="str">
        <x:v>1本公開</x:v>
      </x:c>
      <x:c r="H9" s="48" t="str">
        <x:v>未着手</x:v>
      </x:c>
      <x:c r="I9" s="48" t="str"/>
    </x:row>
    <x:row r="10">
      <x:c r="A10" s="58" t="n">
        <x:v>46223</x:v>
      </x:c>
      <x:c r="B10" s="48" t="n">
        <x:v>6</x:v>
      </x:c>
      <x:c r="C10" s="48" t="str">
        <x:v>高</x:v>
      </x:c>
      <x:c r="D10" s="48" t="str">
        <x:v>LinkedInで日本語標準投稿</x:v>
      </x:c>
      <x:c r="E10" s="48" t="str">
        <x:v>LinkedIn</x:v>
      </x:c>
      <x:c r="F10" s="48" t="str">
        <x:v>P01 + OG画像</x:v>
      </x:c>
      <x:c r="G10" s="48" t="str">
        <x:v>1投稿</x:v>
      </x:c>
      <x:c r="H10" s="48" t="str">
        <x:v>未着手</x:v>
      </x:c>
      <x:c r="I10" s="48" t="str"/>
    </x:row>
    <x:row r="11">
      <x:c r="A11" s="58" t="n">
        <x:v>46224</x:v>
      </x:c>
      <x:c r="B11" s="48" t="n">
        <x:v>7</x:v>
      </x:c>
      <x:c r="C11" s="48" t="str">
        <x:v>高</x:v>
      </x:c>
      <x:c r="D11" s="48" t="str">
        <x:v>Facebookで日本語標準投稿</x:v>
      </x:c>
      <x:c r="E11" s="48" t="str">
        <x:v>Facebook</x:v>
      </x:c>
      <x:c r="F11" s="48" t="str">
        <x:v>P01 + デモ動画</x:v>
      </x:c>
      <x:c r="G11" s="48" t="str">
        <x:v>1投稿</x:v>
      </x:c>
      <x:c r="H11" s="48" t="str">
        <x:v>未着手</x:v>
      </x:c>
      <x:c r="I11" s="48" t="str"/>
    </x:row>
    <x:row r="12">
      <x:c r="A12" s="58" t="n">
        <x:v>46225</x:v>
      </x:c>
      <x:c r="B12" s="48" t="n">
        <x:v>8</x:v>
      </x:c>
      <x:c r="C12" s="48" t="str">
        <x:v>中</x:v>
      </x:c>
      <x:c r="D12" s="48" t="str">
        <x:v>ThreadsとXで短文投稿</x:v>
      </x:c>
      <x:c r="E12" s="48" t="str">
        <x:v>Threads / X</x:v>
      </x:c>
      <x:c r="F12" s="48" t="str">
        <x:v>P02 + OG画像</x:v>
      </x:c>
      <x:c r="G12" s="48" t="str">
        <x:v>2投稿</x:v>
      </x:c>
      <x:c r="H12" s="48" t="str">
        <x:v>未着手</x:v>
      </x:c>
      <x:c r="I12" s="48" t="str"/>
    </x:row>
    <x:row r="13">
      <x:c r="A13" s="58" t="n">
        <x:v>46226</x:v>
      </x:c>
      <x:c r="B13" s="48" t="n">
        <x:v>9</x:v>
      </x:c>
      <x:c r="C13" s="48" t="str">
        <x:v>高</x:v>
      </x:c>
      <x:c r="D13" s="48" t="str">
        <x:v>イベント関係者5件を選定・個別送信</x:v>
      </x:c>
      <x:c r="E13" s="48" t="str">
        <x:v>イベント主催者</x:v>
      </x:c>
      <x:c r="F13" s="48" t="str">
        <x:v>P03</x:v>
      </x:c>
      <x:c r="G13" s="48" t="str">
        <x:v>5件送信</x:v>
      </x:c>
      <x:c r="H13" s="48" t="str">
        <x:v>未着手</x:v>
      </x:c>
      <x:c r="I13" s="48" t="str"/>
    </x:row>
    <x:row r="14">
      <x:c r="A14" s="58" t="n">
        <x:v>46227</x:v>
      </x:c>
      <x:c r="B14" s="48" t="n">
        <x:v>10</x:v>
      </x:c>
      <x:c r="C14" s="48" t="str">
        <x:v>高</x:v>
      </x:c>
      <x:c r="D14" s="48" t="str">
        <x:v>国際交流・NPO 5件を選定・個別送信</x:v>
      </x:c>
      <x:c r="E14" s="48" t="str">
        <x:v>国際交流・外国人支援</x:v>
      </x:c>
      <x:c r="F14" s="48" t="str">
        <x:v>P04</x:v>
      </x:c>
      <x:c r="G14" s="48" t="str">
        <x:v>5件送信</x:v>
      </x:c>
      <x:c r="H14" s="48" t="str">
        <x:v>未着手</x:v>
      </x:c>
      <x:c r="I14" s="48" t="str"/>
    </x:row>
    <x:row r="15">
      <x:c r="A15" s="58" t="n">
        <x:v>46228</x:v>
      </x:c>
      <x:c r="B15" s="48" t="n">
        <x:v>11</x:v>
      </x:c>
      <x:c r="C15" s="48" t="str">
        <x:v>中</x:v>
      </x:c>
      <x:c r="D15" s="48" t="str">
        <x:v>反応のあった人へ24時間以内に返信</x:v>
      </x:c>
      <x:c r="E15" s="48" t="str">
        <x:v>全チャネル</x:v>
      </x:c>
      <x:c r="F15" s="48" t="str">
        <x:v>個別返信</x:v>
      </x:c>
      <x:c r="G15" s="48" t="str">
        <x:v>返信漏れ0</x:v>
      </x:c>
      <x:c r="H15" s="48" t="str">
        <x:v>未着手</x:v>
      </x:c>
      <x:c r="I15" s="48" t="str"/>
    </x:row>
    <x:row r="16">
      <x:c r="A16" s="58" t="n">
        <x:v>46229</x:v>
      </x:c>
      <x:c r="B16" s="48" t="n">
        <x:v>12</x:v>
      </x:c>
      <x:c r="C16" s="48" t="str">
        <x:v>高</x:v>
      </x:c>
      <x:c r="D16" s="48" t="str">
        <x:v>教育関係者5件を選定・個別送信</x:v>
      </x:c>
      <x:c r="E16" s="48" t="str">
        <x:v>学校・語学教室・研修</x:v>
      </x:c>
      <x:c r="F16" s="48" t="str">
        <x:v>P05</x:v>
      </x:c>
      <x:c r="G16" s="48" t="str">
        <x:v>5件送信</x:v>
      </x:c>
      <x:c r="H16" s="48" t="str">
        <x:v>未着手</x:v>
      </x:c>
      <x:c r="I16" s="48" t="str"/>
    </x:row>
    <x:row r="17">
      <x:c r="A17" s="58" t="n">
        <x:v>46230</x:v>
      </x:c>
      <x:c r="B17" s="48" t="n">
        <x:v>13</x:v>
      </x:c>
      <x:c r="C17" s="48" t="str">
        <x:v>高</x:v>
      </x:c>
      <x:c r="D17" s="48" t="str">
        <x:v>信仰コミュニティ5件を選定・個別送信</x:v>
      </x:c>
      <x:c r="E17" s="48" t="str">
        <x:v>教会・宗教団体・地域集会</x:v>
      </x:c>
      <x:c r="F17" s="48" t="str">
        <x:v>P06</x:v>
      </x:c>
      <x:c r="G17" s="48" t="str">
        <x:v>5件送信</x:v>
      </x:c>
      <x:c r="H17" s="48" t="str">
        <x:v>未着手</x:v>
      </x:c>
      <x:c r="I17" s="48" t="str"/>
    </x:row>
    <x:row r="18">
      <x:c r="A18" s="58" t="n">
        <x:v>46231</x:v>
      </x:c>
      <x:c r="B18" s="48" t="n">
        <x:v>14</x:v>
      </x:c>
      <x:c r="C18" s="48" t="str">
        <x:v>中</x:v>
      </x:c>
      <x:c r="D18" s="48" t="str">
        <x:v>LinkedInで英語投稿</x:v>
      </x:c>
      <x:c r="E18" s="48" t="str">
        <x:v>LinkedIn English</x:v>
      </x:c>
      <x:c r="F18" s="48" t="str">
        <x:v>P07 + OG画像</x:v>
      </x:c>
      <x:c r="G18" s="48" t="str">
        <x:v>1投稿</x:v>
      </x:c>
      <x:c r="H18" s="48" t="str">
        <x:v>未着手</x:v>
      </x:c>
      <x:c r="I18" s="48" t="str"/>
    </x:row>
    <x:row r="19">
      <x:c r="A19" s="58" t="n">
        <x:v>46232</x:v>
      </x:c>
      <x:c r="B19" s="48" t="n">
        <x:v>15</x:v>
      </x:c>
      <x:c r="C19" s="48" t="str">
        <x:v>中</x:v>
      </x:c>
      <x:c r="D19" s="48" t="str">
        <x:v>Facebookの国際交流系グループ2件へ管理者許可を依頼</x:v>
      </x:c>
      <x:c r="E19" s="48" t="str">
        <x:v>Facebookグループ</x:v>
      </x:c>
      <x:c r="F19" s="48" t="str">
        <x:v>P07</x:v>
      </x:c>
      <x:c r="G19" s="48" t="str">
        <x:v>許可依頼2件</x:v>
      </x:c>
      <x:c r="H19" s="48" t="str">
        <x:v>未着手</x:v>
      </x:c>
      <x:c r="I19" s="48" t="str"/>
    </x:row>
    <x:row r="20">
      <x:c r="A20" s="58" t="n">
        <x:v>46233</x:v>
      </x:c>
      <x:c r="B20" s="48" t="n">
        <x:v>16</x:v>
      </x:c>
      <x:c r="C20" s="48" t="str">
        <x:v>高</x:v>
      </x:c>
      <x:c r="D20" s="48" t="str">
        <x:v>前週の流入・登録・通訳開始を集計</x:v>
      </x:c>
      <x:c r="E20" s="48" t="str">
        <x:v>実績入力</x:v>
      </x:c>
      <x:c r="F20" s="48" t="str">
        <x:v>ダッシュボード</x:v>
      </x:c>
      <x:c r="G20" s="48" t="str">
        <x:v>一週間集計</x:v>
      </x:c>
      <x:c r="H20" s="48" t="str">
        <x:v>未着手</x:v>
      </x:c>
      <x:c r="I20" s="48" t="str"/>
    </x:row>
    <x:row r="21">
      <x:c r="A21" s="58" t="n">
        <x:v>46234</x:v>
      </x:c>
      <x:c r="B21" s="48" t="n">
        <x:v>17</x:v>
      </x:c>
      <x:c r="C21" s="48" t="str">
        <x:v>高</x:v>
      </x:c>
      <x:c r="D21" s="48" t="str">
        <x:v>イベント関係者追加5件へ個別送信</x:v>
      </x:c>
      <x:c r="E21" s="48" t="str">
        <x:v>イベント主催者</x:v>
      </x:c>
      <x:c r="F21" s="48" t="str">
        <x:v>P03</x:v>
      </x:c>
      <x:c r="G21" s="48" t="str">
        <x:v>累計10件</x:v>
      </x:c>
      <x:c r="H21" s="48" t="str">
        <x:v>未着手</x:v>
      </x:c>
      <x:c r="I21" s="48" t="str"/>
    </x:row>
    <x:row r="22">
      <x:c r="A22" s="58" t="n">
        <x:v>46235</x:v>
      </x:c>
      <x:c r="B22" s="48" t="n">
        <x:v>18</x:v>
      </x:c>
      <x:c r="C22" s="48" t="str">
        <x:v>高</x:v>
      </x:c>
      <x:c r="D22" s="48" t="str">
        <x:v>国際交流・NPO追加5件へ個別送信</x:v>
      </x:c>
      <x:c r="E22" s="48" t="str">
        <x:v>国際交流・外国人支援</x:v>
      </x:c>
      <x:c r="F22" s="48" t="str">
        <x:v>P04</x:v>
      </x:c>
      <x:c r="G22" s="48" t="str">
        <x:v>累計10件</x:v>
      </x:c>
      <x:c r="H22" s="48" t="str">
        <x:v>未着手</x:v>
      </x:c>
      <x:c r="I22" s="48" t="str"/>
    </x:row>
    <x:row r="23">
      <x:c r="A23" s="58" t="n">
        <x:v>46236</x:v>
      </x:c>
      <x:c r="B23" s="48" t="n">
        <x:v>19</x:v>
      </x:c>
      <x:c r="C23" s="48" t="str">
        <x:v>高</x:v>
      </x:c>
      <x:c r="D23" s="48" t="str">
        <x:v>教育関係者追加5件へ個別送信</x:v>
      </x:c>
      <x:c r="E23" s="48" t="str">
        <x:v>学校・語学教室・研修</x:v>
      </x:c>
      <x:c r="F23" s="48" t="str">
        <x:v>P05</x:v>
      </x:c>
      <x:c r="G23" s="48" t="str">
        <x:v>累計10件</x:v>
      </x:c>
      <x:c r="H23" s="48" t="str">
        <x:v>未着手</x:v>
      </x:c>
      <x:c r="I23" s="48" t="str"/>
    </x:row>
    <x:row r="24">
      <x:c r="A24" s="58" t="n">
        <x:v>46237</x:v>
      </x:c>
      <x:c r="B24" s="48" t="n">
        <x:v>20</x:v>
      </x:c>
      <x:c r="C24" s="48" t="str">
        <x:v>高</x:v>
      </x:c>
      <x:c r="D24" s="48" t="str">
        <x:v>信仰コミュニティ追加5件へ個別送信</x:v>
      </x:c>
      <x:c r="E24" s="48" t="str">
        <x:v>教会・宗教団体・地域集会</x:v>
      </x:c>
      <x:c r="F24" s="48" t="str">
        <x:v>P06</x:v>
      </x:c>
      <x:c r="G24" s="48" t="str">
        <x:v>累計10件</x:v>
      </x:c>
      <x:c r="H24" s="48" t="str">
        <x:v>未着手</x:v>
      </x:c>
      <x:c r="I24" s="48" t="str"/>
    </x:row>
    <x:row r="25">
      <x:c r="A25" s="58" t="n">
        <x:v>46238</x:v>
      </x:c>
      <x:c r="B25" s="48" t="n">
        <x:v>21</x:v>
      </x:c>
      <x:c r="C25" s="48" t="str">
        <x:v>中</x:v>
      </x:c>
      <x:c r="D25" s="48" t="str">
        <x:v>YouTube動画をInstagram・Facebookで再共有</x:v>
      </x:c>
      <x:c r="E25" s="48" t="str">
        <x:v>Instagram / Facebook</x:v>
      </x:c>
      <x:c r="F25" s="48" t="str">
        <x:v>デモ動画</x:v>
      </x:c>
      <x:c r="G25" s="48" t="str">
        <x:v>2投稿</x:v>
      </x:c>
      <x:c r="H25" s="48" t="str">
        <x:v>未着手</x:v>
      </x:c>
      <x:c r="I25" s="48" t="str"/>
    </x:row>
    <x:row r="26">
      <x:c r="A26" s="58" t="n">
        <x:v>46239</x:v>
      </x:c>
      <x:c r="B26" s="48" t="n">
        <x:v>22</x:v>
      </x:c>
      <x:c r="C26" s="48" t="str">
        <x:v>高</x:v>
      </x:c>
      <x:c r="D26" s="48" t="str">
        <x:v>5分以上利用者へ感想を依頼</x:v>
      </x:c>
      <x:c r="E26" s="48" t="str">
        <x:v>初期利用者</x:v>
      </x:c>
      <x:c r="F26" s="48" t="str">
        <x:v>P10</x:v>
      </x:c>
      <x:c r="G26" s="48" t="str">
        <x:v>依頼3件以上</x:v>
      </x:c>
      <x:c r="H26" s="48" t="str">
        <x:v>未着手</x:v>
      </x:c>
      <x:c r="I26" s="48" t="str"/>
    </x:row>
    <x:row r="27">
      <x:c r="A27" s="58" t="n">
        <x:v>46240</x:v>
      </x:c>
      <x:c r="B27" s="48" t="n">
        <x:v>23</x:v>
      </x:c>
      <x:c r="C27" s="48" t="str">
        <x:v>中</x:v>
      </x:c>
      <x:c r="D27" s="48" t="str">
        <x:v>中国語標準投稿を共有</x:v>
      </x:c>
      <x:c r="E27" s="48" t="str">
        <x:v>WeChat等の関係グループ</x:v>
      </x:c>
      <x:c r="F27" s="48" t="str">
        <x:v>P09 + OG画像</x:v>
      </x:c>
      <x:c r="G27" s="48" t="str">
        <x:v>1投稿</x:v>
      </x:c>
      <x:c r="H27" s="48" t="str">
        <x:v>未着手</x:v>
      </x:c>
      <x:c r="I27" s="48" t="str"/>
    </x:row>
    <x:row r="28">
      <x:c r="A28" s="58" t="n">
        <x:v>46241</x:v>
      </x:c>
      <x:c r="B28" s="48" t="n">
        <x:v>24</x:v>
      </x:c>
      <x:c r="C28" s="48" t="str">
        <x:v>中</x:v>
      </x:c>
      <x:c r="D28" s="48" t="str">
        <x:v>Reddit関連コミュニティの規則を調査</x:v>
      </x:c>
      <x:c r="E28" s="48" t="str">
        <x:v>Reddit</x:v>
      </x:c>
      <x:c r="F28" s="48" t="str">
        <x:v>P07</x:v>
      </x:c>
      <x:c r="G28" s="48" t="str">
        <x:v>投稿可否確認</x:v>
      </x:c>
      <x:c r="H28" s="48" t="str">
        <x:v>未着手</x:v>
      </x:c>
      <x:c r="I28" s="48" t="str"/>
    </x:row>
    <x:row r="29">
      <x:c r="A29" s="58" t="n">
        <x:v>46242</x:v>
      </x:c>
      <x:c r="B29" s="48" t="n">
        <x:v>25</x:v>
      </x:c>
      <x:c r="C29" s="48" t="str">
        <x:v>中</x:v>
      </x:c>
      <x:c r="D29" s="48" t="str">
        <x:v>許可が得られたコミュニティに投稿</x:v>
      </x:c>
      <x:c r="E29" s="48" t="str">
        <x:v>Facebook / Reddit</x:v>
      </x:c>
      <x:c r="F29" s="48" t="str">
        <x:v>P01またはP07</x:v>
      </x:c>
      <x:c r="G29" s="48" t="str">
        <x:v>1〜3投稿</x:v>
      </x:c>
      <x:c r="H29" s="48" t="str">
        <x:v>未着手</x:v>
      </x:c>
      <x:c r="I29" s="48" t="str"/>
    </x:row>
    <x:row r="30">
      <x:c r="A30" s="58" t="n">
        <x:v>46243</x:v>
      </x:c>
      <x:c r="B30" s="48" t="n">
        <x:v>26</x:v>
      </x:c>
      <x:c r="C30" s="48" t="str">
        <x:v>高</x:v>
      </x:c>
      <x:c r="D30" s="48" t="str">
        <x:v>反応がない個別連絡先に1回だけ追跡</x:v>
      </x:c>
      <x:c r="E30" s="48" t="str">
        <x:v>個別紹介40件</x:v>
      </x:c>
      <x:c r="F30" s="48" t="str">
        <x:v>短い確認文</x:v>
      </x:c>
      <x:c r="G30" s="48" t="str">
        <x:v>追跡最大1回</x:v>
      </x:c>
      <x:c r="H30" s="48" t="str">
        <x:v>未着手</x:v>
      </x:c>
      <x:c r="I30" s="48" t="str"/>
    </x:row>
    <x:row r="31">
      <x:c r="A31" s="58" t="n">
        <x:v>46244</x:v>
      </x:c>
      <x:c r="B31" s="48" t="n">
        <x:v>27</x:v>
      </x:c>
      <x:c r="C31" s="48" t="str">
        <x:v>高</x:v>
      </x:c>
      <x:c r="D31" s="48" t="str">
        <x:v>2週間分のチャネル別成果を比較</x:v>
      </x:c>
      <x:c r="E31" s="48" t="str">
        <x:v>実績入力</x:v>
      </x:c>
      <x:c r="F31" s="48" t="str">
        <x:v>ダッシュボード</x:v>
      </x:c>
      <x:c r="G31" s="48" t="str">
        <x:v>通訳開始数で順位付け</x:v>
      </x:c>
      <x:c r="H31" s="48" t="str">
        <x:v>未着手</x:v>
      </x:c>
      <x:c r="I31" s="48" t="str"/>
    </x:row>
    <x:row r="32">
      <x:c r="A32" s="58" t="n">
        <x:v>46245</x:v>
      </x:c>
      <x:c r="B32" s="48" t="n">
        <x:v>28</x:v>
      </x:c>
      <x:c r="C32" s="48" t="str">
        <x:v>中</x:v>
      </x:c>
      <x:c r="D32" s="48" t="str">
        <x:v>最も反応の良い利用場面の投稿を再投稿</x:v>
      </x:c>
      <x:c r="E32" s="48" t="str">
        <x:v>成果上位チャネル</x:v>
      </x:c>
      <x:c r="F32" s="48" t="str">
        <x:v>上位投稿の改良版</x:v>
      </x:c>
      <x:c r="G32" s="48" t="str">
        <x:v>1投稿</x:v>
      </x:c>
      <x:c r="H32" s="48" t="str">
        <x:v>未着手</x:v>
      </x:c>
      <x:c r="I32" s="48" t="str"/>
    </x:row>
    <x:row r="33">
      <x:c r="A33" s="58" t="n">
        <x:v>46246</x:v>
      </x:c>
      <x:c r="B33" s="48" t="n">
        <x:v>29</x:v>
      </x:c>
      <x:c r="C33" s="48" t="str">
        <x:v>中</x:v>
      </x:c>
      <x:c r="D33" s="48" t="str">
        <x:v>感想の掲載同意と表記方法を確認</x:v>
      </x:c>
      <x:c r="E33" s="48" t="str">
        <x:v>感想提供者</x:v>
      </x:c>
      <x:c r="F33" s="48" t="str">
        <x:v>同意確認文</x:v>
      </x:c>
      <x:c r="G33" s="48" t="str">
        <x:v>同意1〜3件</x:v>
      </x:c>
      <x:c r="H33" s="48" t="str">
        <x:v>未着手</x:v>
      </x:c>
      <x:c r="I33" s="48" t="str"/>
    </x:row>
    <x:row r="34">
      <x:c r="A34" s="58" t="n">
        <x:v>46247</x:v>
      </x:c>
      <x:c r="B34" s="48" t="n">
        <x:v>30</x:v>
      </x:c>
      <x:c r="C34" s="48" t="str">
        <x:v>中</x:v>
      </x:c>
      <x:c r="D34" s="48" t="str">
        <x:v>感想を使った信頼性投稿を作成</x:v>
      </x:c>
      <x:c r="E34" s="48" t="str">
        <x:v>LinkedIn / Facebook</x:v>
      </x:c>
      <x:c r="F34" s="48" t="str">
        <x:v>承認済み感想</x:v>
      </x:c>
      <x:c r="G34" s="48" t="str">
        <x:v>1投稿</x:v>
      </x:c>
      <x:c r="H34" s="48" t="str">
        <x:v>未着手</x:v>
      </x:c>
      <x:c r="I34" s="48" t="str"/>
    </x:row>
    <x:row r="35">
      <x:c r="A35" s="58" t="n">
        <x:v>46248</x:v>
      </x:c>
      <x:c r="B35" s="48" t="n">
        <x:v>31</x:v>
      </x:c>
      <x:c r="C35" s="48" t="str">
        <x:v>低</x:v>
      </x:c>
      <x:c r="D35" s="48" t="str">
        <x:v>Product Hunt用素材を整理</x:v>
      </x:c>
      <x:c r="E35" s="48" t="str">
        <x:v>Product Hunt</x:v>
      </x:c>
      <x:c r="F35" s="48" t="str">
        <x:v>OG画像・デモ・英語説明</x:v>
      </x:c>
      <x:c r="G35" s="48" t="str">
        <x:v>下書き完成</x:v>
      </x:c>
      <x:c r="H35" s="48" t="str">
        <x:v>未着手</x:v>
      </x:c>
      <x:c r="I35" s="48" t="str"/>
    </x:row>
    <x:row r="36">
      <x:c r="A36" s="59" t="n">
        <x:v>46249</x:v>
      </x:c>
      <x:c r="B36" s="49" t="n">
        <x:v>32</x:v>
      </x:c>
      <x:c r="C36" s="49" t="str">
        <x:v>高</x:v>
      </x:c>
      <x:c r="D36" s="49" t="str">
        <x:v>30日の結果を集計し、継続・中止・改善を判定</x:v>
      </x:c>
      <x:c r="E36" s="49" t="str">
        <x:v>全チャネル</x:v>
      </x:c>
      <x:c r="F36" s="49" t="str">
        <x:v>ダッシュボード</x:v>
      </x:c>
      <x:c r="G36" s="49" t="str">
        <x:v>次の30日方針を決定</x:v>
      </x:c>
      <x:c r="H36" s="49" t="str">
        <x:v>未着手</x:v>
      </x:c>
      <x:c r="I36" s="49" t="str"/>
    </x:row>
  </x:sheetData>
  <x:mergeCells>
    <x:mergeCell ref="A1:I2"/>
  </x:mergeCells>
  <x:conditionalFormatting sqref="H5:H36">
    <x:cfRule type="containsText" dxfId="0" priority="1" operator="containsText" text="完了"/>
    <x:cfRule type="containsText" dxfId="1" priority="2" operator="containsText" text="進行中"/>
    <x:cfRule type="containsText" dxfId="2" priority="3" operator="containsText" text="保留"/>
  </x:conditionalFormatting>
  <x:dataValidations count="2">
    <x:dataValidation type="list" sqref="H5:H36">
      <x:formula1>"未着手,進行中,完了,保留"</x:formula1>
    </x:dataValidation>
    <x:dataValidation type="list" sqref="C5:C36">
      <x:formula1>"最優先,高,中,低"</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15" hidden="0" customWidth="1"/>
    <x:col min="3" max="3" width="15" hidden="0" customWidth="1"/>
    <x:col min="4" max="4" width="27" hidden="0" customWidth="1"/>
    <x:col min="5" max="5" width="62" hidden="0" customWidth="1"/>
    <x:col min="6" max="6" width="48" hidden="0" customWidth="1"/>
    <x:col min="7" max="7" width="36" hidden="0" customWidth="1"/>
  </x:cols>
  <x:sheetData>
    <x:row r="1">
      <x:c r="A1" s="3" t="str">
        <x:v>Live Interpreter 投稿・連絡文</x:v>
      </x:c>
      <x:c r="B1" s="3"/>
      <x:c r="C1" s="3"/>
      <x:c r="D1" s="3"/>
      <x:c r="E1" s="3"/>
      <x:c r="F1" s="3"/>
      <x:c r="G1" s="3"/>
    </x:row>
    <x:row r="2">
      <x:c r="A2" s="3"/>
      <x:c r="B2" s="3"/>
      <x:c r="C2" s="3"/>
      <x:c r="D2" s="3"/>
      <x:c r="E2" s="3"/>
      <x:c r="F2" s="3"/>
      <x:c r="G2" s="3"/>
    </x:row>
    <x:row r="4">
      <x:c r="A4" s="15" t="str">
        <x:v>ID</x:v>
      </x:c>
      <x:c r="B4" s="16" t="str">
        <x:v>言語</x:v>
      </x:c>
      <x:c r="C4" s="16" t="str">
        <x:v>用途</x:v>
      </x:c>
      <x:c r="D4" s="16" t="str">
        <x:v>対象</x:v>
      </x:c>
      <x:c r="E4" s="16" t="str">
        <x:v>本文</x:v>
      </x:c>
      <x:c r="F4" s="16" t="str">
        <x:v>URL</x:v>
      </x:c>
      <x:c r="G4" s="17" t="str">
        <x:v>ハッシュタグ/注意</x:v>
      </x:c>
    </x:row>
    <x:row r="5" ht="88" customHeight="1">
      <x:c r="A5" s="47" t="str">
        <x:v>P01</x:v>
      </x:c>
      <x:c r="B5" s="47" t="str">
        <x:v>日本語</x:v>
      </x:c>
      <x:c r="C5" s="47" t="str">
        <x:v>SNS標準</x:v>
      </x:c>
      <x:c r="D5" s="47" t="str">
        <x:v>会議・イベント・教育</x:v>
      </x:c>
      <x:c r="E5" s="47" t="str">
        <x:v>会議やイベントで、言葉の違いに進行を止められていませんか？
Live Interpreterは、マイクに話した内容を別の言語の音声へ低遅延で通訳するWebサービスです。インストール不要。新規登録後15分無料で試せます。</x:v>
      </x:c>
      <x:c r="F5" s="47" t="str">
        <x:f>'UTM一覧'!F7</x:f>
        <x:v>https://live-interpreter.shalomworks.tech/?lang=ja&amp;utm_source=linkedin&amp;utm_medium=social&amp;utm_campaign=launch_general_ja</x:v>
      </x:c>
      <x:c r="G5" s="47" t="str">
        <x:v>#AI通訳 #リアルタイム通訳 #国際交流</x:v>
      </x:c>
    </x:row>
    <x:row r="6" ht="88" customHeight="1">
      <x:c r="A6" s="48" t="str">
        <x:v>P02</x:v>
      </x:c>
      <x:c r="B6" s="48" t="str">
        <x:v>日本語</x:v>
      </x:c>
      <x:c r="C6" s="48" t="str">
        <x:v>SNS短文</x:v>
      </x:c>
      <x:c r="D6" s="48" t="str">
        <x:v>Threads・X</x:v>
      </x:c>
      <x:c r="E6" s="48" t="str">
        <x:v>話すだけで、別の言語の音声へ。
ブラウザーで使えるAI音声通訳「Live Interpreter」を公開しました。登録後15分無料です。</x:v>
      </x:c>
      <x:c r="F6" s="48" t="str">
        <x:f>'UTM一覧'!F10</x:f>
        <x:v>https://live-interpreter.shalomworks.tech/?lang=ja&amp;utm_source=threads&amp;utm_medium=social&amp;utm_campaign=launch_short_ja</x:v>
      </x:c>
      <x:c r="G6" s="48" t="str">
        <x:v>#AI通訳 #多言語</x:v>
      </x:c>
    </x:row>
    <x:row r="7" ht="88" customHeight="1">
      <x:c r="A7" s="48" t="str">
        <x:v>P03</x:v>
      </x:c>
      <x:c r="B7" s="48" t="str">
        <x:v>日本語</x:v>
      </x:c>
      <x:c r="C7" s="48" t="str">
        <x:v>イベント紹介</x:v>
      </x:c>
      <x:c r="D7" s="48" t="str">
        <x:v>主催者・セミナー</x:v>
      </x:c>
      <x:c r="E7" s="48" t="str">
        <x:v>○○様のイベントで、外国語の参加者へ内容を届ける場面に使えるかもしれないと思い、ご連絡しました。
Live Interpreterは、話した内容をブラウザー上で別の言語の音声へ通訳するサービスです。登録後15分無料ですので、よければ小規模な場面でお試しください。</x:v>
      </x:c>
      <x:c r="F7" s="48" t="str">
        <x:f>'UTM一覧'!F16</x:f>
        <x:v>https://live-interpreter.shalomworks.tech/?lang=ja&amp;utm_source=direct_event&amp;utm_medium=outreach&amp;utm_campaign=event_ja</x:v>
      </x:c>
      <x:c r="G7" s="48" t="str">
        <x:v>冒頭の○○と利用場面を必ず相手に合わせる</x:v>
      </x:c>
    </x:row>
    <x:row r="8" ht="88" customHeight="1">
      <x:c r="A8" s="48" t="str">
        <x:v>P04</x:v>
      </x:c>
      <x:c r="B8" s="48" t="str">
        <x:v>日本語</x:v>
      </x:c>
      <x:c r="C8" s="48" t="str">
        <x:v>NPO・国際交流</x:v>
      </x:c>
      <x:c r="D8" s="48" t="str">
        <x:v>外国人支援・日本語教室</x:v>
      </x:c>
      <x:c r="E8" s="48" t="str">
        <x:v>○○様の活動で、言葉の違う参加者との案内や交流を補助できるかもしれないと思い、ご連絡しました。
Live Interpreterは、アプリのインストールなしで使えるAI音声通訳です。重要な手続きや専門判断には人の確認が必要ですが、日常の案内や交流の補助として15分無料で試せます。</x:v>
      </x:c>
      <x:c r="F8" s="48" t="str">
        <x:f>'UTM一覧'!F17</x:f>
        <x:v>https://live-interpreter.shalomworks.tech/?lang=ja&amp;utm_source=direct_npo&amp;utm_medium=outreach&amp;utm_campaign=community_ja</x:v>
      </x:c>
      <x:c r="G8" s="48" t="str">
        <x:v>医療・法律・行政の重要判断に代替しない</x:v>
      </x:c>
    </x:row>
    <x:row r="9" ht="88" customHeight="1">
      <x:c r="A9" s="48" t="str">
        <x:v>P05</x:v>
      </x:c>
      <x:c r="B9" s="48" t="str">
        <x:v>日本語</x:v>
      </x:c>
      <x:c r="C9" s="48" t="str">
        <x:v>教育紹介</x:v>
      </x:c>
      <x:c r="D9" s="48" t="str">
        <x:v>学校・語学教室・研修</x:v>
      </x:c>
      <x:c r="E9" s="48" t="str">
        <x:v>○○様の授業や研修で、日本語に不慣れな参加者へ説明を届ける補助として、Live Interpreterをご紹介します。マイクの音声を別の言語の音声へ通訳し、ブラウザーで使えます。登録後15分無料です。</x:v>
      </x:c>
      <x:c r="F9" s="48" t="str">
        <x:f>'UTM一覧'!F18</x:f>
        <x:v>https://live-interpreter.shalomworks.tech/?lang=ja&amp;utm_source=direct_education&amp;utm_medium=outreach&amp;utm_campaign=education_ja</x:v>
      </x:c>
      <x:c r="G9" s="48" t="str">
        <x:v>試験・成績判定には使わない</x:v>
      </x:c>
    </x:row>
    <x:row r="10" ht="88" customHeight="1">
      <x:c r="A10" s="48" t="str">
        <x:v>P06</x:v>
      </x:c>
      <x:c r="B10" s="48" t="str">
        <x:v>日本語</x:v>
      </x:c>
      <x:c r="C10" s="48" t="str">
        <x:v>信仰コミュニティ</x:v>
      </x:c>
      <x:c r="D10" s="48" t="str">
        <x:v>教会・宗教団体・地域集会</x:v>
      </x:c>
      <x:c r="E10" s="48" t="str">
        <x:v>○○様の集会で、外国語の参加者へメッセージや案内を届ける場面に使えるかもしれないと思い、ご連絡しました。Live Interpreterは、ブラウザーで使えるAI音声通訳です。登録後15分無で試せます。</x:v>
      </x:c>
      <x:c r="F10" s="48" t="str">
        <x:f>'UTM一覧'!F19</x:f>
        <x:v>https://live-interpreter.shalomworks.tech/?lang=ja&amp;utm_source=direct_faith&amp;utm_medium=outreach&amp;utm_campaign=faith_ja</x:v>
      </x:c>
      <x:c r="G10" s="48" t="str">
        <x:v>教会専用とは表現しない</x:v>
      </x:c>
    </x:row>
    <x:row r="11" ht="88" customHeight="1">
      <x:c r="A11" s="48" t="str">
        <x:v>P07</x:v>
      </x:c>
      <x:c r="B11" s="48" t="str">
        <x:v>English</x:v>
      </x:c>
      <x:c r="C11" s="48" t="str">
        <x:v>Social standard</x:v>
      </x:c>
      <x:c r="D11" s="48" t="str">
        <x:v>Events, education, communities</x:v>
      </x:c>
      <x:c r="E11" s="48" t="str">
        <x:v>Need live interpretation for a meeting, event, class, or community gathering?
Live Interpreter turns spoken language into another language's audio with low latency, directly in your browser. No app installation required. New accounts receive 15 free minutes after email verification.</x:v>
      </x:c>
      <x:c r="F11" s="48" t="str">
        <x:f>'UTM一覧'!F13</x:f>
        <x:v>https://live-interpreter.shalomworks.tech/?lang=en&amp;utm_source=linkedin&amp;utm_medium=social&amp;utm_campaign=launch_general_en</x:v>
      </x:c>
      <x:c r="G11" s="48" t="str">
        <x:v>#AIInterpretation #LiveInterpretation #Multilingual</x:v>
      </x:c>
    </x:row>
    <x:row r="12" ht="88" customHeight="1">
      <x:c r="A12" s="48" t="str">
        <x:v>P08</x:v>
      </x:c>
      <x:c r="B12" s="48" t="str">
        <x:v>English</x:v>
      </x:c>
      <x:c r="C12" s="48" t="str">
        <x:v>Direct outreach</x:v>
      </x:c>
      <x:c r="D12" s="48" t="str">
        <x:v>Organizers and community leaders</x:v>
      </x:c>
      <x:c r="E12" s="48" t="str">
        <x:v>I thought Live Interpreter might help when your participants speak different languages. It provides low-latency voice interpretation directly in a browser, with no app installation required. New accounts receive 15 free minutes, so you can test it in a small, low-risk setting.</x:v>
      </x:c>
      <x:c r="F12" s="48" t="str">
        <x:f>'UTM一覧'!F13</x:f>
        <x:v>https://live-interpreter.shalomworks.tech/?lang=en&amp;utm_source=linkedin&amp;utm_medium=social&amp;utm_campaign=launch_general_en</x:v>
      </x:c>
      <x:c r="G12" s="48" t="str">
        <x:v>Add one sentence that names the recipient's real activity</x:v>
      </x:c>
    </x:row>
    <x:row r="13" ht="88" customHeight="1">
      <x:c r="A13" s="48" t="str">
        <x:v>P09</x:v>
      </x:c>
      <x:c r="B13" s="48" t="str">
        <x:v>简体中文</x:v>
      </x:c>
      <x:c r="C13" s="48" t="str">
        <x:v>社交媒体</x:v>
      </x:c>
      <x:c r="D13" s="48" t="str">
        <x:v>会议、活动、教育和社区</x:v>
      </x:c>
      <x:c r="E13" s="48" t="str">
        <x:v>会议、活动或课堂需要实时语音口译吗？
Live Interpreter可以直接在浏览器中，将讲话低延迟地转换为另一种语言的语音。无需安装应用。完成邮箱验证后，新用户可免费试用15分钟。</x:v>
      </x:c>
      <x:c r="F13" s="48" t="str">
        <x:f>'UTM一覧'!F15</x:f>
        <x:v>https://live-interpreter.shalomworks.tech/?lang=zh-CN&amp;utm_source=wechat&amp;utm_medium=community&amp;utm_campaign=launch_general_zh</x:v>
      </x:c>
      <x:c r="G13" s="48" t="str">
        <x:v>#AI口译 #实时口译 #多语言</x:v>
      </x:c>
    </x:row>
    <x:row r="14" ht="88" customHeight="1">
      <x:c r="A14" s="49" t="str">
        <x:v>P10</x:v>
      </x:c>
      <x:c r="B14" s="49" t="str">
        <x:v>日本語</x:v>
      </x:c>
      <x:c r="C14" s="49" t="str">
        <x:v>感想依頼</x:v>
      </x:c>
      <x:c r="D14" s="49" t="str">
        <x:v>5分以上利用者</x:v>
      </x:c>
      <x:c r="E14" s="49" t="str">
        <x:v>Live Interpreterをお試しいただき、ありがとうございます。今後の改善のため、「どの場面で使ったか」「役に立った点」「困った点」をそれぞれ一言で教えていただけますか？公開する場合は、必ず内容と表記方法を事前に確認します。</x:v>
      </x:c>
      <x:c r="F14" s="49" t="str">
        <x:f>'UTM一覧'!F7</x:f>
        <x:v>https://live-interpreter.shalomworks.tech/?lang=ja&amp;utm_source=linkedin&amp;utm_medium=social&amp;utm_campaign=launch_general_ja</x:v>
      </x:c>
      <x:c r="G14" s="49" t="str">
        <x:v>名前・所属の公開は別途同意を取る</x:v>
      </x:c>
    </x:row>
  </x:sheetData>
  <x:mergeCells>
    <x:mergeCell ref="A1:G2"/>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7" hidden="0" customWidth="1"/>
    <x:col min="2" max="2" width="28" hidden="0" customWidth="1"/>
    <x:col min="3" max="3" width="10" hidden="0" customWidth="1"/>
    <x:col min="4" max="4" width="26" hidden="0" customWidth="1"/>
    <x:col min="5" max="5" width="34" hidden="0" customWidth="1"/>
    <x:col min="6" max="6" width="48" hidden="0" customWidth="1"/>
    <x:col min="7" max="7" width="13" hidden="0" customWidth="1"/>
    <x:col min="8" max="8" width="16" hidden="0" customWidth="1"/>
    <x:col min="9" max="9" width="22" hidden="0" customWidth="1"/>
    <x:col min="10" max="10" width="22" hidden="0" customWidth="1"/>
    <x:col min="11" max="11" width="22" hidden="0" customWidth="1"/>
  </x:cols>
  <x:sheetData>
    <x:row r="1">
      <x:c r="A1" s="3" t="str">
        <x:v>個別紹介40件 連絡トラッカー</x:v>
      </x:c>
      <x:c r="B1" s="3"/>
      <x:c r="C1" s="3"/>
      <x:c r="D1" s="3"/>
      <x:c r="E1" s="3"/>
      <x:c r="F1" s="3"/>
      <x:c r="G1" s="3"/>
      <x:c r="H1" s="3"/>
      <x:c r="I1" s="3"/>
      <x:c r="J1" s="3"/>
      <x:c r="K1" s="3"/>
    </x:row>
    <x:row r="2">
      <x:c r="A2" s="3"/>
      <x:c r="B2" s="3"/>
      <x:c r="C2" s="3"/>
      <x:c r="D2" s="3"/>
      <x:c r="E2" s="3"/>
      <x:c r="F2" s="3"/>
      <x:c r="G2" s="3"/>
      <x:c r="H2" s="3"/>
      <x:c r="I2" s="3"/>
      <x:c r="J2" s="3"/>
      <x:c r="K2" s="3"/>
    </x:row>
    <x:row r="4">
      <x:c r="A4" s="15" t="str">
        <x:v>No.</x:v>
      </x:c>
      <x:c r="B4" s="16" t="str">
        <x:v>分野</x:v>
      </x:c>
      <x:c r="C4" s="16" t="str">
        <x:v>優先度</x:v>
      </x:c>
      <x:c r="D4" s="16" t="str">
        <x:v>団体・相手</x:v>
      </x:c>
      <x:c r="E4" s="16" t="str">
        <x:v>URL/連絡方法</x:v>
      </x:c>
      <x:c r="F4" s="16" t="str">
        <x:v>相手に合わせる冒頭一文</x:v>
      </x:c>
      <x:c r="G4" s="16" t="str">
        <x:v>送信日</x:v>
      </x:c>
      <x:c r="H4" s="16" t="str">
        <x:v>状態</x:v>
      </x:c>
      <x:c r="I4" s="16" t="str">
        <x:v>返信</x:v>
      </x:c>
      <x:c r="J4" s="16" t="str">
        <x:v>通訳テスト</x:v>
      </x:c>
      <x:c r="K4" s="17" t="str">
        <x:v>メモ</x:v>
      </x:c>
    </x:row>
    <x:row r="5">
      <x:c r="A5" s="79" t="n">
        <x:v>1</x:v>
      </x:c>
      <x:c r="B5" s="79" t="str">
        <x:v>イベント・セミナー</x:v>
      </x:c>
      <x:c r="C5" s="79" t="str">
        <x:v>高</x:v>
      </x:c>
      <x:c r="D5" s="80" t="str"/>
      <x:c r="E5" s="80" t="str"/>
      <x:c r="F5" s="80" t="str"/>
      <x:c r="G5" s="81"/>
      <x:c r="H5" s="80" t="str">
        <x:v>未着手</x:v>
      </x:c>
      <x:c r="I5" s="80" t="str"/>
      <x:c r="J5" s="80" t="str"/>
      <x:c r="K5" s="80" t="str"/>
    </x:row>
    <x:row r="6">
      <x:c r="A6" s="82" t="n">
        <x:v>2</x:v>
      </x:c>
      <x:c r="B6" s="82" t="str">
        <x:v>イベント・セミナー</x:v>
      </x:c>
      <x:c r="C6" s="82" t="str">
        <x:v>高</x:v>
      </x:c>
      <x:c r="D6" s="83" t="str"/>
      <x:c r="E6" s="83" t="str"/>
      <x:c r="F6" s="83" t="str"/>
      <x:c r="G6" s="84"/>
      <x:c r="H6" s="83" t="str">
        <x:v>未着手</x:v>
      </x:c>
      <x:c r="I6" s="83" t="str"/>
      <x:c r="J6" s="83" t="str"/>
      <x:c r="K6" s="83" t="str"/>
    </x:row>
    <x:row r="7">
      <x:c r="A7" s="82" t="n">
        <x:v>3</x:v>
      </x:c>
      <x:c r="B7" s="82" t="str">
        <x:v>イベント・セミナー</x:v>
      </x:c>
      <x:c r="C7" s="82" t="str">
        <x:v>高</x:v>
      </x:c>
      <x:c r="D7" s="83" t="str"/>
      <x:c r="E7" s="83" t="str"/>
      <x:c r="F7" s="83" t="str"/>
      <x:c r="G7" s="84"/>
      <x:c r="H7" s="83" t="str">
        <x:v>未着手</x:v>
      </x:c>
      <x:c r="I7" s="83" t="str"/>
      <x:c r="J7" s="83" t="str"/>
      <x:c r="K7" s="83" t="str"/>
    </x:row>
    <x:row r="8">
      <x:c r="A8" s="82" t="n">
        <x:v>4</x:v>
      </x:c>
      <x:c r="B8" s="82" t="str">
        <x:v>イベント・セミナー</x:v>
      </x:c>
      <x:c r="C8" s="82" t="str">
        <x:v>高</x:v>
      </x:c>
      <x:c r="D8" s="83" t="str"/>
      <x:c r="E8" s="83" t="str"/>
      <x:c r="F8" s="83" t="str"/>
      <x:c r="G8" s="84"/>
      <x:c r="H8" s="83" t="str">
        <x:v>未着手</x:v>
      </x:c>
      <x:c r="I8" s="83" t="str"/>
      <x:c r="J8" s="83" t="str"/>
      <x:c r="K8" s="83" t="str"/>
    </x:row>
    <x:row r="9">
      <x:c r="A9" s="82" t="n">
        <x:v>5</x:v>
      </x:c>
      <x:c r="B9" s="82" t="str">
        <x:v>イベント・セミナー</x:v>
      </x:c>
      <x:c r="C9" s="82" t="str">
        <x:v>高</x:v>
      </x:c>
      <x:c r="D9" s="83" t="str"/>
      <x:c r="E9" s="83" t="str"/>
      <x:c r="F9" s="83" t="str"/>
      <x:c r="G9" s="84"/>
      <x:c r="H9" s="83" t="str">
        <x:v>未着手</x:v>
      </x:c>
      <x:c r="I9" s="83" t="str"/>
      <x:c r="J9" s="83" t="str"/>
      <x:c r="K9" s="83" t="str"/>
    </x:row>
    <x:row r="10">
      <x:c r="A10" s="82" t="n">
        <x:v>6</x:v>
      </x:c>
      <x:c r="B10" s="82" t="str">
        <x:v>イベント・セミナー</x:v>
      </x:c>
      <x:c r="C10" s="82" t="str">
        <x:v>中</x:v>
      </x:c>
      <x:c r="D10" s="83" t="str"/>
      <x:c r="E10" s="83" t="str"/>
      <x:c r="F10" s="83" t="str"/>
      <x:c r="G10" s="84"/>
      <x:c r="H10" s="83" t="str">
        <x:v>未着手</x:v>
      </x:c>
      <x:c r="I10" s="83" t="str"/>
      <x:c r="J10" s="83" t="str"/>
      <x:c r="K10" s="83" t="str"/>
    </x:row>
    <x:row r="11">
      <x:c r="A11" s="82" t="n">
        <x:v>7</x:v>
      </x:c>
      <x:c r="B11" s="82" t="str">
        <x:v>イベント・セミナー</x:v>
      </x:c>
      <x:c r="C11" s="82" t="str">
        <x:v>中</x:v>
      </x:c>
      <x:c r="D11" s="83" t="str"/>
      <x:c r="E11" s="83" t="str"/>
      <x:c r="F11" s="83" t="str"/>
      <x:c r="G11" s="84"/>
      <x:c r="H11" s="83" t="str">
        <x:v>未着手</x:v>
      </x:c>
      <x:c r="I11" s="83" t="str"/>
      <x:c r="J11" s="83" t="str"/>
      <x:c r="K11" s="83" t="str"/>
    </x:row>
    <x:row r="12">
      <x:c r="A12" s="82" t="n">
        <x:v>8</x:v>
      </x:c>
      <x:c r="B12" s="82" t="str">
        <x:v>イベント・セミナー</x:v>
      </x:c>
      <x:c r="C12" s="82" t="str">
        <x:v>中</x:v>
      </x:c>
      <x:c r="D12" s="83" t="str"/>
      <x:c r="E12" s="83" t="str"/>
      <x:c r="F12" s="83" t="str"/>
      <x:c r="G12" s="84"/>
      <x:c r="H12" s="83" t="str">
        <x:v>未着手</x:v>
      </x:c>
      <x:c r="I12" s="83" t="str"/>
      <x:c r="J12" s="83" t="str"/>
      <x:c r="K12" s="83" t="str"/>
    </x:row>
    <x:row r="13">
      <x:c r="A13" s="82" t="n">
        <x:v>9</x:v>
      </x:c>
      <x:c r="B13" s="82" t="str">
        <x:v>イベント・セミナー</x:v>
      </x:c>
      <x:c r="C13" s="82" t="str">
        <x:v>中</x:v>
      </x:c>
      <x:c r="D13" s="83" t="str"/>
      <x:c r="E13" s="83" t="str"/>
      <x:c r="F13" s="83" t="str"/>
      <x:c r="G13" s="84"/>
      <x:c r="H13" s="83" t="str">
        <x:v>未着手</x:v>
      </x:c>
      <x:c r="I13" s="83" t="str"/>
      <x:c r="J13" s="83" t="str"/>
      <x:c r="K13" s="83" t="str"/>
    </x:row>
    <x:row r="14">
      <x:c r="A14" s="82" t="n">
        <x:v>10</x:v>
      </x:c>
      <x:c r="B14" s="82" t="str">
        <x:v>イベント・セミナー</x:v>
      </x:c>
      <x:c r="C14" s="82" t="str">
        <x:v>中</x:v>
      </x:c>
      <x:c r="D14" s="83" t="str"/>
      <x:c r="E14" s="83" t="str"/>
      <x:c r="F14" s="83" t="str"/>
      <x:c r="G14" s="84"/>
      <x:c r="H14" s="83" t="str">
        <x:v>未着手</x:v>
      </x:c>
      <x:c r="I14" s="83" t="str"/>
      <x:c r="J14" s="83" t="str"/>
      <x:c r="K14" s="83" t="str"/>
    </x:row>
    <x:row r="15">
      <x:c r="A15" s="82" t="n">
        <x:v>11</x:v>
      </x:c>
      <x:c r="B15" s="82" t="str">
        <x:v>国際交流・NPO</x:v>
      </x:c>
      <x:c r="C15" s="82" t="str">
        <x:v>高</x:v>
      </x:c>
      <x:c r="D15" s="83" t="str"/>
      <x:c r="E15" s="83" t="str"/>
      <x:c r="F15" s="83" t="str"/>
      <x:c r="G15" s="84"/>
      <x:c r="H15" s="83" t="str">
        <x:v>未着手</x:v>
      </x:c>
      <x:c r="I15" s="83" t="str"/>
      <x:c r="J15" s="83" t="str"/>
      <x:c r="K15" s="83" t="str"/>
    </x:row>
    <x:row r="16">
      <x:c r="A16" s="82" t="n">
        <x:v>12</x:v>
      </x:c>
      <x:c r="B16" s="82" t="str">
        <x:v>国際交流・NPO</x:v>
      </x:c>
      <x:c r="C16" s="82" t="str">
        <x:v>高</x:v>
      </x:c>
      <x:c r="D16" s="83" t="str"/>
      <x:c r="E16" s="83" t="str"/>
      <x:c r="F16" s="83" t="str"/>
      <x:c r="G16" s="84"/>
      <x:c r="H16" s="83" t="str">
        <x:v>未着手</x:v>
      </x:c>
      <x:c r="I16" s="83" t="str"/>
      <x:c r="J16" s="83" t="str"/>
      <x:c r="K16" s="83" t="str"/>
    </x:row>
    <x:row r="17">
      <x:c r="A17" s="82" t="n">
        <x:v>13</x:v>
      </x:c>
      <x:c r="B17" s="82" t="str">
        <x:v>国際交流・NPO</x:v>
      </x:c>
      <x:c r="C17" s="82" t="str">
        <x:v>高</x:v>
      </x:c>
      <x:c r="D17" s="83" t="str"/>
      <x:c r="E17" s="83" t="str"/>
      <x:c r="F17" s="83" t="str"/>
      <x:c r="G17" s="84"/>
      <x:c r="H17" s="83" t="str">
        <x:v>未着手</x:v>
      </x:c>
      <x:c r="I17" s="83" t="str"/>
      <x:c r="J17" s="83" t="str"/>
      <x:c r="K17" s="83" t="str"/>
    </x:row>
    <x:row r="18">
      <x:c r="A18" s="82" t="n">
        <x:v>14</x:v>
      </x:c>
      <x:c r="B18" s="82" t="str">
        <x:v>国際交流・NPO</x:v>
      </x:c>
      <x:c r="C18" s="82" t="str">
        <x:v>高</x:v>
      </x:c>
      <x:c r="D18" s="83" t="str"/>
      <x:c r="E18" s="83" t="str"/>
      <x:c r="F18" s="83" t="str"/>
      <x:c r="G18" s="84"/>
      <x:c r="H18" s="83" t="str">
        <x:v>未着手</x:v>
      </x:c>
      <x:c r="I18" s="83" t="str"/>
      <x:c r="J18" s="83" t="str"/>
      <x:c r="K18" s="83" t="str"/>
    </x:row>
    <x:row r="19">
      <x:c r="A19" s="82" t="n">
        <x:v>15</x:v>
      </x:c>
      <x:c r="B19" s="82" t="str">
        <x:v>国際交流・NPO</x:v>
      </x:c>
      <x:c r="C19" s="82" t="str">
        <x:v>高</x:v>
      </x:c>
      <x:c r="D19" s="83" t="str"/>
      <x:c r="E19" s="83" t="str"/>
      <x:c r="F19" s="83" t="str"/>
      <x:c r="G19" s="84"/>
      <x:c r="H19" s="83" t="str">
        <x:v>未着手</x:v>
      </x:c>
      <x:c r="I19" s="83" t="str"/>
      <x:c r="J19" s="83" t="str"/>
      <x:c r="K19" s="83" t="str"/>
    </x:row>
    <x:row r="20">
      <x:c r="A20" s="82" t="n">
        <x:v>16</x:v>
      </x:c>
      <x:c r="B20" s="82" t="str">
        <x:v>国際交流・NPO</x:v>
      </x:c>
      <x:c r="C20" s="82" t="str">
        <x:v>中</x:v>
      </x:c>
      <x:c r="D20" s="83" t="str"/>
      <x:c r="E20" s="83" t="str"/>
      <x:c r="F20" s="83" t="str"/>
      <x:c r="G20" s="84"/>
      <x:c r="H20" s="83" t="str">
        <x:v>未着手</x:v>
      </x:c>
      <x:c r="I20" s="83" t="str"/>
      <x:c r="J20" s="83" t="str"/>
      <x:c r="K20" s="83" t="str"/>
    </x:row>
    <x:row r="21">
      <x:c r="A21" s="82" t="n">
        <x:v>17</x:v>
      </x:c>
      <x:c r="B21" s="82" t="str">
        <x:v>国際交流・NPO</x:v>
      </x:c>
      <x:c r="C21" s="82" t="str">
        <x:v>中</x:v>
      </x:c>
      <x:c r="D21" s="83" t="str"/>
      <x:c r="E21" s="83" t="str"/>
      <x:c r="F21" s="83" t="str"/>
      <x:c r="G21" s="84"/>
      <x:c r="H21" s="83" t="str">
        <x:v>未着手</x:v>
      </x:c>
      <x:c r="I21" s="83" t="str"/>
      <x:c r="J21" s="83" t="str"/>
      <x:c r="K21" s="83" t="str"/>
    </x:row>
    <x:row r="22">
      <x:c r="A22" s="82" t="n">
        <x:v>18</x:v>
      </x:c>
      <x:c r="B22" s="82" t="str">
        <x:v>国際交流・NPO</x:v>
      </x:c>
      <x:c r="C22" s="82" t="str">
        <x:v>中</x:v>
      </x:c>
      <x:c r="D22" s="83" t="str"/>
      <x:c r="E22" s="83" t="str"/>
      <x:c r="F22" s="83" t="str"/>
      <x:c r="G22" s="84"/>
      <x:c r="H22" s="83" t="str">
        <x:v>未着手</x:v>
      </x:c>
      <x:c r="I22" s="83" t="str"/>
      <x:c r="J22" s="83" t="str"/>
      <x:c r="K22" s="83" t="str"/>
    </x:row>
    <x:row r="23">
      <x:c r="A23" s="82" t="n">
        <x:v>19</x:v>
      </x:c>
      <x:c r="B23" s="82" t="str">
        <x:v>国際交流・NPO</x:v>
      </x:c>
      <x:c r="C23" s="82" t="str">
        <x:v>中</x:v>
      </x:c>
      <x:c r="D23" s="83" t="str"/>
      <x:c r="E23" s="83" t="str"/>
      <x:c r="F23" s="83" t="str"/>
      <x:c r="G23" s="84"/>
      <x:c r="H23" s="83" t="str">
        <x:v>未着手</x:v>
      </x:c>
      <x:c r="I23" s="83" t="str"/>
      <x:c r="J23" s="83" t="str"/>
      <x:c r="K23" s="83" t="str"/>
    </x:row>
    <x:row r="24">
      <x:c r="A24" s="82" t="n">
        <x:v>20</x:v>
      </x:c>
      <x:c r="B24" s="82" t="str">
        <x:v>国際交流・NPO</x:v>
      </x:c>
      <x:c r="C24" s="82" t="str">
        <x:v>中</x:v>
      </x:c>
      <x:c r="D24" s="83" t="str"/>
      <x:c r="E24" s="83" t="str"/>
      <x:c r="F24" s="83" t="str"/>
      <x:c r="G24" s="84"/>
      <x:c r="H24" s="83" t="str">
        <x:v>未着手</x:v>
      </x:c>
      <x:c r="I24" s="83" t="str"/>
      <x:c r="J24" s="83" t="str"/>
      <x:c r="K24" s="83" t="str"/>
    </x:row>
    <x:row r="25">
      <x:c r="A25" s="82" t="n">
        <x:v>21</x:v>
      </x:c>
      <x:c r="B25" s="82" t="str">
        <x:v>教育・日本語教室</x:v>
      </x:c>
      <x:c r="C25" s="82" t="str">
        <x:v>高</x:v>
      </x:c>
      <x:c r="D25" s="83" t="str"/>
      <x:c r="E25" s="83" t="str"/>
      <x:c r="F25" s="83" t="str"/>
      <x:c r="G25" s="84"/>
      <x:c r="H25" s="83" t="str">
        <x:v>未着手</x:v>
      </x:c>
      <x:c r="I25" s="83" t="str"/>
      <x:c r="J25" s="83" t="str"/>
      <x:c r="K25" s="83" t="str"/>
    </x:row>
    <x:row r="26">
      <x:c r="A26" s="82" t="n">
        <x:v>22</x:v>
      </x:c>
      <x:c r="B26" s="82" t="str">
        <x:v>教育・日本語教室</x:v>
      </x:c>
      <x:c r="C26" s="82" t="str">
        <x:v>高</x:v>
      </x:c>
      <x:c r="D26" s="83" t="str"/>
      <x:c r="E26" s="83" t="str"/>
      <x:c r="F26" s="83" t="str"/>
      <x:c r="G26" s="84"/>
      <x:c r="H26" s="83" t="str">
        <x:v>未着手</x:v>
      </x:c>
      <x:c r="I26" s="83" t="str"/>
      <x:c r="J26" s="83" t="str"/>
      <x:c r="K26" s="83" t="str"/>
    </x:row>
    <x:row r="27">
      <x:c r="A27" s="82" t="n">
        <x:v>23</x:v>
      </x:c>
      <x:c r="B27" s="82" t="str">
        <x:v>教育・日本語教室</x:v>
      </x:c>
      <x:c r="C27" s="82" t="str">
        <x:v>高</x:v>
      </x:c>
      <x:c r="D27" s="83" t="str"/>
      <x:c r="E27" s="83" t="str"/>
      <x:c r="F27" s="83" t="str"/>
      <x:c r="G27" s="84"/>
      <x:c r="H27" s="83" t="str">
        <x:v>未着手</x:v>
      </x:c>
      <x:c r="I27" s="83" t="str"/>
      <x:c r="J27" s="83" t="str"/>
      <x:c r="K27" s="83" t="str"/>
    </x:row>
    <x:row r="28">
      <x:c r="A28" s="82" t="n">
        <x:v>24</x:v>
      </x:c>
      <x:c r="B28" s="82" t="str">
        <x:v>教育・日本語教室</x:v>
      </x:c>
      <x:c r="C28" s="82" t="str">
        <x:v>高</x:v>
      </x:c>
      <x:c r="D28" s="83" t="str"/>
      <x:c r="E28" s="83" t="str"/>
      <x:c r="F28" s="83" t="str"/>
      <x:c r="G28" s="84"/>
      <x:c r="H28" s="83" t="str">
        <x:v>未着手</x:v>
      </x:c>
      <x:c r="I28" s="83" t="str"/>
      <x:c r="J28" s="83" t="str"/>
      <x:c r="K28" s="83" t="str"/>
    </x:row>
    <x:row r="29">
      <x:c r="A29" s="82" t="n">
        <x:v>25</x:v>
      </x:c>
      <x:c r="B29" s="82" t="str">
        <x:v>教育・日本語教室</x:v>
      </x:c>
      <x:c r="C29" s="82" t="str">
        <x:v>高</x:v>
      </x:c>
      <x:c r="D29" s="83" t="str"/>
      <x:c r="E29" s="83" t="str"/>
      <x:c r="F29" s="83" t="str"/>
      <x:c r="G29" s="84"/>
      <x:c r="H29" s="83" t="str">
        <x:v>未着手</x:v>
      </x:c>
      <x:c r="I29" s="83" t="str"/>
      <x:c r="J29" s="83" t="str"/>
      <x:c r="K29" s="83" t="str"/>
    </x:row>
    <x:row r="30">
      <x:c r="A30" s="82" t="n">
        <x:v>26</x:v>
      </x:c>
      <x:c r="B30" s="82" t="str">
        <x:v>教育・日本語教室</x:v>
      </x:c>
      <x:c r="C30" s="82" t="str">
        <x:v>中</x:v>
      </x:c>
      <x:c r="D30" s="83" t="str"/>
      <x:c r="E30" s="83" t="str"/>
      <x:c r="F30" s="83" t="str"/>
      <x:c r="G30" s="84"/>
      <x:c r="H30" s="83" t="str">
        <x:v>未着手</x:v>
      </x:c>
      <x:c r="I30" s="83" t="str"/>
      <x:c r="J30" s="83" t="str"/>
      <x:c r="K30" s="83" t="str"/>
    </x:row>
    <x:row r="31">
      <x:c r="A31" s="82" t="n">
        <x:v>27</x:v>
      </x:c>
      <x:c r="B31" s="82" t="str">
        <x:v>教育・日本語教室</x:v>
      </x:c>
      <x:c r="C31" s="82" t="str">
        <x:v>中</x:v>
      </x:c>
      <x:c r="D31" s="83" t="str"/>
      <x:c r="E31" s="83" t="str"/>
      <x:c r="F31" s="83" t="str"/>
      <x:c r="G31" s="84"/>
      <x:c r="H31" s="83" t="str">
        <x:v>未着手</x:v>
      </x:c>
      <x:c r="I31" s="83" t="str"/>
      <x:c r="J31" s="83" t="str"/>
      <x:c r="K31" s="83" t="str"/>
    </x:row>
    <x:row r="32">
      <x:c r="A32" s="82" t="n">
        <x:v>28</x:v>
      </x:c>
      <x:c r="B32" s="82" t="str">
        <x:v>教育・日本語教室</x:v>
      </x:c>
      <x:c r="C32" s="82" t="str">
        <x:v>中</x:v>
      </x:c>
      <x:c r="D32" s="83" t="str"/>
      <x:c r="E32" s="83" t="str"/>
      <x:c r="F32" s="83" t="str"/>
      <x:c r="G32" s="84"/>
      <x:c r="H32" s="83" t="str">
        <x:v>未着手</x:v>
      </x:c>
      <x:c r="I32" s="83" t="str"/>
      <x:c r="J32" s="83" t="str"/>
      <x:c r="K32" s="83" t="str"/>
    </x:row>
    <x:row r="33">
      <x:c r="A33" s="82" t="n">
        <x:v>29</x:v>
      </x:c>
      <x:c r="B33" s="82" t="str">
        <x:v>教育・日本語教室</x:v>
      </x:c>
      <x:c r="C33" s="82" t="str">
        <x:v>中</x:v>
      </x:c>
      <x:c r="D33" s="83" t="str"/>
      <x:c r="E33" s="83" t="str"/>
      <x:c r="F33" s="83" t="str"/>
      <x:c r="G33" s="84"/>
      <x:c r="H33" s="83" t="str">
        <x:v>未着手</x:v>
      </x:c>
      <x:c r="I33" s="83" t="str"/>
      <x:c r="J33" s="83" t="str"/>
      <x:c r="K33" s="83" t="str"/>
    </x:row>
    <x:row r="34">
      <x:c r="A34" s="82" t="n">
        <x:v>30</x:v>
      </x:c>
      <x:c r="B34" s="82" t="str">
        <x:v>教育・日本語教室</x:v>
      </x:c>
      <x:c r="C34" s="82" t="str">
        <x:v>中</x:v>
      </x:c>
      <x:c r="D34" s="83" t="str"/>
      <x:c r="E34" s="83" t="str"/>
      <x:c r="F34" s="83" t="str"/>
      <x:c r="G34" s="84"/>
      <x:c r="H34" s="83" t="str">
        <x:v>未着手</x:v>
      </x:c>
      <x:c r="I34" s="83" t="str"/>
      <x:c r="J34" s="83" t="str"/>
      <x:c r="K34" s="83" t="str"/>
    </x:row>
    <x:row r="35">
      <x:c r="A35" s="82" t="n">
        <x:v>31</x:v>
      </x:c>
      <x:c r="B35" s="82" t="str">
        <x:v>信仰・地域コミュニティ</x:v>
      </x:c>
      <x:c r="C35" s="82" t="str">
        <x:v>高</x:v>
      </x:c>
      <x:c r="D35" s="83" t="str"/>
      <x:c r="E35" s="83" t="str"/>
      <x:c r="F35" s="83" t="str"/>
      <x:c r="G35" s="84"/>
      <x:c r="H35" s="83" t="str">
        <x:v>未着手</x:v>
      </x:c>
      <x:c r="I35" s="83" t="str"/>
      <x:c r="J35" s="83" t="str"/>
      <x:c r="K35" s="83" t="str"/>
    </x:row>
    <x:row r="36">
      <x:c r="A36" s="82" t="n">
        <x:v>32</x:v>
      </x:c>
      <x:c r="B36" s="82" t="str">
        <x:v>信仰・地域コミュニティ</x:v>
      </x:c>
      <x:c r="C36" s="82" t="str">
        <x:v>高</x:v>
      </x:c>
      <x:c r="D36" s="83" t="str"/>
      <x:c r="E36" s="83" t="str"/>
      <x:c r="F36" s="83" t="str"/>
      <x:c r="G36" s="84"/>
      <x:c r="H36" s="83" t="str">
        <x:v>未着手</x:v>
      </x:c>
      <x:c r="I36" s="83" t="str"/>
      <x:c r="J36" s="83" t="str"/>
      <x:c r="K36" s="83" t="str"/>
    </x:row>
    <x:row r="37">
      <x:c r="A37" s="82" t="n">
        <x:v>33</x:v>
      </x:c>
      <x:c r="B37" s="82" t="str">
        <x:v>信仰・地域コミュニティ</x:v>
      </x:c>
      <x:c r="C37" s="82" t="str">
        <x:v>高</x:v>
      </x:c>
      <x:c r="D37" s="83" t="str"/>
      <x:c r="E37" s="83" t="str"/>
      <x:c r="F37" s="83" t="str"/>
      <x:c r="G37" s="84"/>
      <x:c r="H37" s="83" t="str">
        <x:v>未着手</x:v>
      </x:c>
      <x:c r="I37" s="83" t="str"/>
      <x:c r="J37" s="83" t="str"/>
      <x:c r="K37" s="83" t="str"/>
    </x:row>
    <x:row r="38">
      <x:c r="A38" s="82" t="n">
        <x:v>34</x:v>
      </x:c>
      <x:c r="B38" s="82" t="str">
        <x:v>信仰・地域コミュニティ</x:v>
      </x:c>
      <x:c r="C38" s="82" t="str">
        <x:v>高</x:v>
      </x:c>
      <x:c r="D38" s="83" t="str"/>
      <x:c r="E38" s="83" t="str"/>
      <x:c r="F38" s="83" t="str"/>
      <x:c r="G38" s="84"/>
      <x:c r="H38" s="83" t="str">
        <x:v>未着手</x:v>
      </x:c>
      <x:c r="I38" s="83" t="str"/>
      <x:c r="J38" s="83" t="str"/>
      <x:c r="K38" s="83" t="str"/>
    </x:row>
    <x:row r="39">
      <x:c r="A39" s="82" t="n">
        <x:v>35</x:v>
      </x:c>
      <x:c r="B39" s="82" t="str">
        <x:v>信仰・地域コミュニティ</x:v>
      </x:c>
      <x:c r="C39" s="82" t="str">
        <x:v>高</x:v>
      </x:c>
      <x:c r="D39" s="83" t="str"/>
      <x:c r="E39" s="83" t="str"/>
      <x:c r="F39" s="83" t="str"/>
      <x:c r="G39" s="84"/>
      <x:c r="H39" s="83" t="str">
        <x:v>未着手</x:v>
      </x:c>
      <x:c r="I39" s="83" t="str"/>
      <x:c r="J39" s="83" t="str"/>
      <x:c r="K39" s="83" t="str"/>
    </x:row>
    <x:row r="40">
      <x:c r="A40" s="82" t="n">
        <x:v>36</x:v>
      </x:c>
      <x:c r="B40" s="82" t="str">
        <x:v>信仰・地域コミュニティ</x:v>
      </x:c>
      <x:c r="C40" s="82" t="str">
        <x:v>中</x:v>
      </x:c>
      <x:c r="D40" s="83" t="str"/>
      <x:c r="E40" s="83" t="str"/>
      <x:c r="F40" s="83" t="str"/>
      <x:c r="G40" s="84"/>
      <x:c r="H40" s="83" t="str">
        <x:v>未着手</x:v>
      </x:c>
      <x:c r="I40" s="83" t="str"/>
      <x:c r="J40" s="83" t="str"/>
      <x:c r="K40" s="83" t="str"/>
    </x:row>
    <x:row r="41">
      <x:c r="A41" s="82" t="n">
        <x:v>37</x:v>
      </x:c>
      <x:c r="B41" s="82" t="str">
        <x:v>信仰・地域コミュニティ</x:v>
      </x:c>
      <x:c r="C41" s="82" t="str">
        <x:v>中</x:v>
      </x:c>
      <x:c r="D41" s="83" t="str"/>
      <x:c r="E41" s="83" t="str"/>
      <x:c r="F41" s="83" t="str"/>
      <x:c r="G41" s="84"/>
      <x:c r="H41" s="83" t="str">
        <x:v>未着手</x:v>
      </x:c>
      <x:c r="I41" s="83" t="str"/>
      <x:c r="J41" s="83" t="str"/>
      <x:c r="K41" s="83" t="str"/>
    </x:row>
    <x:row r="42">
      <x:c r="A42" s="82" t="n">
        <x:v>38</x:v>
      </x:c>
      <x:c r="B42" s="82" t="str">
        <x:v>信仰・地域コミュニティ</x:v>
      </x:c>
      <x:c r="C42" s="82" t="str">
        <x:v>中</x:v>
      </x:c>
      <x:c r="D42" s="83" t="str"/>
      <x:c r="E42" s="83" t="str"/>
      <x:c r="F42" s="83" t="str"/>
      <x:c r="G42" s="84"/>
      <x:c r="H42" s="83" t="str">
        <x:v>未着手</x:v>
      </x:c>
      <x:c r="I42" s="83" t="str"/>
      <x:c r="J42" s="83" t="str"/>
      <x:c r="K42" s="83" t="str"/>
    </x:row>
    <x:row r="43">
      <x:c r="A43" s="82" t="n">
        <x:v>39</x:v>
      </x:c>
      <x:c r="B43" s="82" t="str">
        <x:v>信仰・地域コミュニティ</x:v>
      </x:c>
      <x:c r="C43" s="82" t="str">
        <x:v>中</x:v>
      </x:c>
      <x:c r="D43" s="83" t="str"/>
      <x:c r="E43" s="83" t="str"/>
      <x:c r="F43" s="83" t="str"/>
      <x:c r="G43" s="84"/>
      <x:c r="H43" s="83" t="str">
        <x:v>未着手</x:v>
      </x:c>
      <x:c r="I43" s="83" t="str"/>
      <x:c r="J43" s="83" t="str"/>
      <x:c r="K43" s="83" t="str"/>
    </x:row>
    <x:row r="44">
      <x:c r="A44" s="85" t="n">
        <x:v>40</x:v>
      </x:c>
      <x:c r="B44" s="85" t="str">
        <x:v>信仰・地域コミュニティ</x:v>
      </x:c>
      <x:c r="C44" s="85" t="str">
        <x:v>中</x:v>
      </x:c>
      <x:c r="D44" s="86" t="str"/>
      <x:c r="E44" s="86" t="str"/>
      <x:c r="F44" s="86" t="str"/>
      <x:c r="G44" s="87"/>
      <x:c r="H44" s="86" t="str">
        <x:v>未着手</x:v>
      </x:c>
      <x:c r="I44" s="86" t="str"/>
      <x:c r="J44" s="86" t="str"/>
      <x:c r="K44" s="86" t="str"/>
    </x:row>
  </x:sheetData>
  <x:mergeCells>
    <x:mergeCell ref="A1:K2"/>
  </x:mergeCells>
  <x:conditionalFormatting sqref="H5:H44">
    <x:cfRule type="containsText" dxfId="3" priority="1" operator="containsText" text="テスト実施"/>
  </x:conditionalFormatting>
  <x:dataValidations count="2">
    <x:dataValidation type="list" sqref="C5:C44">
      <x:formula1>"高,中,低"</x:formula1>
    </x:dataValidation>
    <x:dataValidation type="list" sqref="H5:H44">
      <x:formula1>"未着手,候補,送信済み,返信あり,テスト実施,見送り"</x:formula1>
    </x:dataValidation>
  </x:dataValidation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24"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34" hidden="0" customWidth="1"/>
  </x:cols>
  <x:sheetData>
    <x:row r="1">
      <x:c r="A1" s="3" t="str">
        <x:v>日別・チャネル別 実績入力</x:v>
      </x:c>
      <x:c r="B1" s="3"/>
      <x:c r="C1" s="3"/>
      <x:c r="D1" s="3"/>
      <x:c r="E1" s="3"/>
      <x:c r="F1" s="3"/>
      <x:c r="G1" s="3"/>
      <x:c r="H1" s="3"/>
      <x:c r="I1" s="3"/>
      <x:c r="J1" s="3"/>
      <x:c r="K1" s="3"/>
      <x:c r="L1" s="3"/>
      <x:c r="M1" s="3"/>
      <x:c r="N1" s="3"/>
    </x:row>
    <x:row r="2">
      <x:c r="A2" s="3"/>
      <x:c r="B2" s="3"/>
      <x:c r="C2" s="3"/>
      <x:c r="D2" s="3"/>
      <x:c r="E2" s="3"/>
      <x:c r="F2" s="3"/>
      <x:c r="G2" s="3"/>
      <x:c r="H2" s="3"/>
      <x:c r="I2" s="3"/>
      <x:c r="J2" s="3"/>
      <x:c r="K2" s="3"/>
      <x:c r="L2" s="3"/>
      <x:c r="M2" s="3"/>
      <x:c r="N2" s="3"/>
    </x:row>
    <x:row r="3">
      <x:c r="A3" s="88" t="str">
        <x:v>黄色のセルに入力。同じ日に複数チャネルがある場合は行を追加する。数値は実測値のみ入力する。</x:v>
      </x:c>
      <x:c r="B3" s="88"/>
      <x:c r="C3" s="88"/>
      <x:c r="D3" s="88"/>
      <x:c r="E3" s="88"/>
      <x:c r="F3" s="88"/>
      <x:c r="G3" s="88"/>
      <x:c r="H3" s="88"/>
      <x:c r="I3" s="88"/>
      <x:c r="J3" s="88"/>
      <x:c r="K3" s="88"/>
      <x:c r="L3" s="88"/>
      <x:c r="M3" s="88"/>
      <x:c r="N3" s="88"/>
    </x:row>
    <x:row r="4">
      <x:c r="A4" s="15" t="str">
        <x:v>日付</x:v>
      </x:c>
      <x:c r="B4" s="16" t="str">
        <x:v>チャネル</x:v>
      </x:c>
      <x:c r="C4" s="16" t="str">
        <x:v>キャンペーン</x:v>
      </x:c>
      <x:c r="D4" s="16" t="str">
        <x:v>訪問</x:v>
      </x:c>
      <x:c r="E4" s="16" t="str">
        <x:v>登録</x:v>
      </x:c>
      <x:c r="F4" s="16" t="str">
        <x:v>メール確認</x:v>
      </x:c>
      <x:c r="G4" s="16" t="str">
        <x:v>通訳開始</x:v>
      </x:c>
      <x:c r="H4" s="16" t="str">
        <x:v>5分以上</x:v>
      </x:c>
      <x:c r="I4" s="16" t="str">
        <x:v>感想</x:v>
      </x:c>
      <x:c r="J4" s="16" t="str">
        <x:v>有料購入</x:v>
      </x:c>
      <x:c r="K4" s="16" t="str">
        <x:v>登録率</x:v>
      </x:c>
      <x:c r="L4" s="16" t="str">
        <x:v>開始率</x:v>
      </x:c>
      <x:c r="M4" s="16" t="str">
        <x:v>購入率</x:v>
      </x:c>
      <x:c r="N4" s="17" t="str">
        <x:v>メモ</x:v>
      </x:c>
    </x:row>
    <x:row r="5">
      <x:c r="A5" s="97" t="n">
        <x:v>46218</x:v>
      </x:c>
      <x:c r="B5" s="98" t="str"/>
      <x:c r="C5" s="98" t="str"/>
      <x:c r="D5" s="99"/>
      <x:c r="E5" s="99"/>
      <x:c r="F5" s="99"/>
      <x:c r="G5" s="99"/>
      <x:c r="H5" s="99"/>
      <x:c r="I5" s="99"/>
      <x:c r="J5" s="99"/>
      <x:c r="K5" s="100" t="n">
        <x:f>IFERROR(E5/D5,0)</x:f>
        <x:v>0</x:v>
      </x:c>
      <x:c r="L5" s="100" t="n">
        <x:f>IFERROR(G5/F5,0)</x:f>
        <x:v>0</x:v>
      </x:c>
      <x:c r="M5" s="100" t="n">
        <x:f>IFERROR(J5/E5,0)</x:f>
        <x:v>0</x:v>
      </x:c>
      <x:c r="N5" s="98" t="str"/>
    </x:row>
    <x:row r="6">
      <x:c r="A6" s="101" t="n">
        <x:v>46219</x:v>
      </x:c>
      <x:c r="B6" s="102" t="str"/>
      <x:c r="C6" s="102" t="str"/>
      <x:c r="D6" s="103"/>
      <x:c r="E6" s="103"/>
      <x:c r="F6" s="103"/>
      <x:c r="G6" s="103"/>
      <x:c r="H6" s="103"/>
      <x:c r="I6" s="103"/>
      <x:c r="J6" s="103"/>
      <x:c r="K6" s="104" t="n">
        <x:f>IFERROR(E6/D6,0)</x:f>
        <x:v>0</x:v>
      </x:c>
      <x:c r="L6" s="104" t="n">
        <x:f>IFERROR(G6/F6,0)</x:f>
        <x:v>0</x:v>
      </x:c>
      <x:c r="M6" s="104" t="n">
        <x:f>IFERROR(J6/E6,0)</x:f>
        <x:v>0</x:v>
      </x:c>
      <x:c r="N6" s="102" t="str"/>
    </x:row>
    <x:row r="7">
      <x:c r="A7" s="101" t="n">
        <x:v>46220</x:v>
      </x:c>
      <x:c r="B7" s="102" t="str"/>
      <x:c r="C7" s="102" t="str"/>
      <x:c r="D7" s="103"/>
      <x:c r="E7" s="103"/>
      <x:c r="F7" s="103"/>
      <x:c r="G7" s="103"/>
      <x:c r="H7" s="103"/>
      <x:c r="I7" s="103"/>
      <x:c r="J7" s="103"/>
      <x:c r="K7" s="104" t="n">
        <x:f>IFERROR(E7/D7,0)</x:f>
        <x:v>0</x:v>
      </x:c>
      <x:c r="L7" s="104" t="n">
        <x:f>IFERROR(G7/F7,0)</x:f>
        <x:v>0</x:v>
      </x:c>
      <x:c r="M7" s="104" t="n">
        <x:f>IFERROR(J7/E7,0)</x:f>
        <x:v>0</x:v>
      </x:c>
      <x:c r="N7" s="102" t="str"/>
    </x:row>
    <x:row r="8">
      <x:c r="A8" s="101" t="n">
        <x:v>46221</x:v>
      </x:c>
      <x:c r="B8" s="102" t="str"/>
      <x:c r="C8" s="102" t="str"/>
      <x:c r="D8" s="103"/>
      <x:c r="E8" s="103"/>
      <x:c r="F8" s="103"/>
      <x:c r="G8" s="103"/>
      <x:c r="H8" s="103"/>
      <x:c r="I8" s="103"/>
      <x:c r="J8" s="103"/>
      <x:c r="K8" s="104" t="n">
        <x:f>IFERROR(E8/D8,0)</x:f>
        <x:v>0</x:v>
      </x:c>
      <x:c r="L8" s="104" t="n">
        <x:f>IFERROR(G8/F8,0)</x:f>
        <x:v>0</x:v>
      </x:c>
      <x:c r="M8" s="104" t="n">
        <x:f>IFERROR(J8/E8,0)</x:f>
        <x:v>0</x:v>
      </x:c>
      <x:c r="N8" s="102" t="str"/>
    </x:row>
    <x:row r="9">
      <x:c r="A9" s="101" t="n">
        <x:v>46222</x:v>
      </x:c>
      <x:c r="B9" s="102" t="str"/>
      <x:c r="C9" s="102" t="str"/>
      <x:c r="D9" s="103"/>
      <x:c r="E9" s="103"/>
      <x:c r="F9" s="103"/>
      <x:c r="G9" s="103"/>
      <x:c r="H9" s="103"/>
      <x:c r="I9" s="103"/>
      <x:c r="J9" s="103"/>
      <x:c r="K9" s="104" t="n">
        <x:f>IFERROR(E9/D9,0)</x:f>
        <x:v>0</x:v>
      </x:c>
      <x:c r="L9" s="104" t="n">
        <x:f>IFERROR(G9/F9,0)</x:f>
        <x:v>0</x:v>
      </x:c>
      <x:c r="M9" s="104" t="n">
        <x:f>IFERROR(J9/E9,0)</x:f>
        <x:v>0</x:v>
      </x:c>
      <x:c r="N9" s="102" t="str"/>
    </x:row>
    <x:row r="10">
      <x:c r="A10" s="101" t="n">
        <x:v>46223</x:v>
      </x:c>
      <x:c r="B10" s="102" t="str"/>
      <x:c r="C10" s="102" t="str"/>
      <x:c r="D10" s="103"/>
      <x:c r="E10" s="103"/>
      <x:c r="F10" s="103"/>
      <x:c r="G10" s="103"/>
      <x:c r="H10" s="103"/>
      <x:c r="I10" s="103"/>
      <x:c r="J10" s="103"/>
      <x:c r="K10" s="104" t="n">
        <x:f>IFERROR(E10/D10,0)</x:f>
        <x:v>0</x:v>
      </x:c>
      <x:c r="L10" s="104" t="n">
        <x:f>IFERROR(G10/F10,0)</x:f>
        <x:v>0</x:v>
      </x:c>
      <x:c r="M10" s="104" t="n">
        <x:f>IFERROR(J10/E10,0)</x:f>
        <x:v>0</x:v>
      </x:c>
      <x:c r="N10" s="102" t="str"/>
    </x:row>
    <x:row r="11">
      <x:c r="A11" s="101" t="n">
        <x:v>46224</x:v>
      </x:c>
      <x:c r="B11" s="102" t="str"/>
      <x:c r="C11" s="102" t="str"/>
      <x:c r="D11" s="103"/>
      <x:c r="E11" s="103"/>
      <x:c r="F11" s="103"/>
      <x:c r="G11" s="103"/>
      <x:c r="H11" s="103"/>
      <x:c r="I11" s="103"/>
      <x:c r="J11" s="103"/>
      <x:c r="K11" s="104" t="n">
        <x:f>IFERROR(E11/D11,0)</x:f>
        <x:v>0</x:v>
      </x:c>
      <x:c r="L11" s="104" t="n">
        <x:f>IFERROR(G11/F11,0)</x:f>
        <x:v>0</x:v>
      </x:c>
      <x:c r="M11" s="104" t="n">
        <x:f>IFERROR(J11/E11,0)</x:f>
        <x:v>0</x:v>
      </x:c>
      <x:c r="N11" s="102" t="str"/>
    </x:row>
    <x:row r="12">
      <x:c r="A12" s="101" t="n">
        <x:v>46225</x:v>
      </x:c>
      <x:c r="B12" s="102" t="str"/>
      <x:c r="C12" s="102" t="str"/>
      <x:c r="D12" s="103"/>
      <x:c r="E12" s="103"/>
      <x:c r="F12" s="103"/>
      <x:c r="G12" s="103"/>
      <x:c r="H12" s="103"/>
      <x:c r="I12" s="103"/>
      <x:c r="J12" s="103"/>
      <x:c r="K12" s="104" t="n">
        <x:f>IFERROR(E12/D12,0)</x:f>
        <x:v>0</x:v>
      </x:c>
      <x:c r="L12" s="104" t="n">
        <x:f>IFERROR(G12/F12,0)</x:f>
        <x:v>0</x:v>
      </x:c>
      <x:c r="M12" s="104" t="n">
        <x:f>IFERROR(J12/E12,0)</x:f>
        <x:v>0</x:v>
      </x:c>
      <x:c r="N12" s="102" t="str"/>
    </x:row>
    <x:row r="13">
      <x:c r="A13" s="101" t="n">
        <x:v>46226</x:v>
      </x:c>
      <x:c r="B13" s="102" t="str"/>
      <x:c r="C13" s="102" t="str"/>
      <x:c r="D13" s="103"/>
      <x:c r="E13" s="103"/>
      <x:c r="F13" s="103"/>
      <x:c r="G13" s="103"/>
      <x:c r="H13" s="103"/>
      <x:c r="I13" s="103"/>
      <x:c r="J13" s="103"/>
      <x:c r="K13" s="104" t="n">
        <x:f>IFERROR(E13/D13,0)</x:f>
        <x:v>0</x:v>
      </x:c>
      <x:c r="L13" s="104" t="n">
        <x:f>IFERROR(G13/F13,0)</x:f>
        <x:v>0</x:v>
      </x:c>
      <x:c r="M13" s="104" t="n">
        <x:f>IFERROR(J13/E13,0)</x:f>
        <x:v>0</x:v>
      </x:c>
      <x:c r="N13" s="102" t="str"/>
    </x:row>
    <x:row r="14">
      <x:c r="A14" s="101" t="n">
        <x:v>46227</x:v>
      </x:c>
      <x:c r="B14" s="102" t="str"/>
      <x:c r="C14" s="102" t="str"/>
      <x:c r="D14" s="103"/>
      <x:c r="E14" s="103"/>
      <x:c r="F14" s="103"/>
      <x:c r="G14" s="103"/>
      <x:c r="H14" s="103"/>
      <x:c r="I14" s="103"/>
      <x:c r="J14" s="103"/>
      <x:c r="K14" s="104" t="n">
        <x:f>IFERROR(E14/D14,0)</x:f>
        <x:v>0</x:v>
      </x:c>
      <x:c r="L14" s="104" t="n">
        <x:f>IFERROR(G14/F14,0)</x:f>
        <x:v>0</x:v>
      </x:c>
      <x:c r="M14" s="104" t="n">
        <x:f>IFERROR(J14/E14,0)</x:f>
        <x:v>0</x:v>
      </x:c>
      <x:c r="N14" s="102" t="str"/>
    </x:row>
    <x:row r="15">
      <x:c r="A15" s="101" t="n">
        <x:v>46228</x:v>
      </x:c>
      <x:c r="B15" s="102" t="str"/>
      <x:c r="C15" s="102" t="str"/>
      <x:c r="D15" s="103"/>
      <x:c r="E15" s="103"/>
      <x:c r="F15" s="103"/>
      <x:c r="G15" s="103"/>
      <x:c r="H15" s="103"/>
      <x:c r="I15" s="103"/>
      <x:c r="J15" s="103"/>
      <x:c r="K15" s="104" t="n">
        <x:f>IFERROR(E15/D15,0)</x:f>
        <x:v>0</x:v>
      </x:c>
      <x:c r="L15" s="104" t="n">
        <x:f>IFERROR(G15/F15,0)</x:f>
        <x:v>0</x:v>
      </x:c>
      <x:c r="M15" s="104" t="n">
        <x:f>IFERROR(J15/E15,0)</x:f>
        <x:v>0</x:v>
      </x:c>
      <x:c r="N15" s="102" t="str"/>
    </x:row>
    <x:row r="16">
      <x:c r="A16" s="101" t="n">
        <x:v>46229</x:v>
      </x:c>
      <x:c r="B16" s="102" t="str"/>
      <x:c r="C16" s="102" t="str"/>
      <x:c r="D16" s="103"/>
      <x:c r="E16" s="103"/>
      <x:c r="F16" s="103"/>
      <x:c r="G16" s="103"/>
      <x:c r="H16" s="103"/>
      <x:c r="I16" s="103"/>
      <x:c r="J16" s="103"/>
      <x:c r="K16" s="104" t="n">
        <x:f>IFERROR(E16/D16,0)</x:f>
        <x:v>0</x:v>
      </x:c>
      <x:c r="L16" s="104" t="n">
        <x:f>IFERROR(G16/F16,0)</x:f>
        <x:v>0</x:v>
      </x:c>
      <x:c r="M16" s="104" t="n">
        <x:f>IFERROR(J16/E16,0)</x:f>
        <x:v>0</x:v>
      </x:c>
      <x:c r="N16" s="102" t="str"/>
    </x:row>
    <x:row r="17">
      <x:c r="A17" s="101" t="n">
        <x:v>46230</x:v>
      </x:c>
      <x:c r="B17" s="102" t="str"/>
      <x:c r="C17" s="102" t="str"/>
      <x:c r="D17" s="103"/>
      <x:c r="E17" s="103"/>
      <x:c r="F17" s="103"/>
      <x:c r="G17" s="103"/>
      <x:c r="H17" s="103"/>
      <x:c r="I17" s="103"/>
      <x:c r="J17" s="103"/>
      <x:c r="K17" s="104" t="n">
        <x:f>IFERROR(E17/D17,0)</x:f>
        <x:v>0</x:v>
      </x:c>
      <x:c r="L17" s="104" t="n">
        <x:f>IFERROR(G17/F17,0)</x:f>
        <x:v>0</x:v>
      </x:c>
      <x:c r="M17" s="104" t="n">
        <x:f>IFERROR(J17/E17,0)</x:f>
        <x:v>0</x:v>
      </x:c>
      <x:c r="N17" s="102" t="str"/>
    </x:row>
    <x:row r="18">
      <x:c r="A18" s="101" t="n">
        <x:v>46231</x:v>
      </x:c>
      <x:c r="B18" s="102" t="str"/>
      <x:c r="C18" s="102" t="str"/>
      <x:c r="D18" s="103"/>
      <x:c r="E18" s="103"/>
      <x:c r="F18" s="103"/>
      <x:c r="G18" s="103"/>
      <x:c r="H18" s="103"/>
      <x:c r="I18" s="103"/>
      <x:c r="J18" s="103"/>
      <x:c r="K18" s="104" t="n">
        <x:f>IFERROR(E18/D18,0)</x:f>
        <x:v>0</x:v>
      </x:c>
      <x:c r="L18" s="104" t="n">
        <x:f>IFERROR(G18/F18,0)</x:f>
        <x:v>0</x:v>
      </x:c>
      <x:c r="M18" s="104" t="n">
        <x:f>IFERROR(J18/E18,0)</x:f>
        <x:v>0</x:v>
      </x:c>
      <x:c r="N18" s="102" t="str"/>
    </x:row>
    <x:row r="19">
      <x:c r="A19" s="101" t="n">
        <x:v>46232</x:v>
      </x:c>
      <x:c r="B19" s="102" t="str"/>
      <x:c r="C19" s="102" t="str"/>
      <x:c r="D19" s="103"/>
      <x:c r="E19" s="103"/>
      <x:c r="F19" s="103"/>
      <x:c r="G19" s="103"/>
      <x:c r="H19" s="103"/>
      <x:c r="I19" s="103"/>
      <x:c r="J19" s="103"/>
      <x:c r="K19" s="104" t="n">
        <x:f>IFERROR(E19/D19,0)</x:f>
        <x:v>0</x:v>
      </x:c>
      <x:c r="L19" s="104" t="n">
        <x:f>IFERROR(G19/F19,0)</x:f>
        <x:v>0</x:v>
      </x:c>
      <x:c r="M19" s="104" t="n">
        <x:f>IFERROR(J19/E19,0)</x:f>
        <x:v>0</x:v>
      </x:c>
      <x:c r="N19" s="102" t="str"/>
    </x:row>
    <x:row r="20">
      <x:c r="A20" s="101" t="n">
        <x:v>46233</x:v>
      </x:c>
      <x:c r="B20" s="102" t="str"/>
      <x:c r="C20" s="102" t="str"/>
      <x:c r="D20" s="103"/>
      <x:c r="E20" s="103"/>
      <x:c r="F20" s="103"/>
      <x:c r="G20" s="103"/>
      <x:c r="H20" s="103"/>
      <x:c r="I20" s="103"/>
      <x:c r="J20" s="103"/>
      <x:c r="K20" s="104" t="n">
        <x:f>IFERROR(E20/D20,0)</x:f>
        <x:v>0</x:v>
      </x:c>
      <x:c r="L20" s="104" t="n">
        <x:f>IFERROR(G20/F20,0)</x:f>
        <x:v>0</x:v>
      </x:c>
      <x:c r="M20" s="104" t="n">
        <x:f>IFERROR(J20/E20,0)</x:f>
        <x:v>0</x:v>
      </x:c>
      <x:c r="N20" s="102" t="str"/>
    </x:row>
    <x:row r="21">
      <x:c r="A21" s="101" t="n">
        <x:v>46234</x:v>
      </x:c>
      <x:c r="B21" s="102" t="str"/>
      <x:c r="C21" s="102" t="str"/>
      <x:c r="D21" s="103"/>
      <x:c r="E21" s="103"/>
      <x:c r="F21" s="103"/>
      <x:c r="G21" s="103"/>
      <x:c r="H21" s="103"/>
      <x:c r="I21" s="103"/>
      <x:c r="J21" s="103"/>
      <x:c r="K21" s="104" t="n">
        <x:f>IFERROR(E21/D21,0)</x:f>
        <x:v>0</x:v>
      </x:c>
      <x:c r="L21" s="104" t="n">
        <x:f>IFERROR(G21/F21,0)</x:f>
        <x:v>0</x:v>
      </x:c>
      <x:c r="M21" s="104" t="n">
        <x:f>IFERROR(J21/E21,0)</x:f>
        <x:v>0</x:v>
      </x:c>
      <x:c r="N21" s="102" t="str"/>
    </x:row>
    <x:row r="22">
      <x:c r="A22" s="101" t="n">
        <x:v>46235</x:v>
      </x:c>
      <x:c r="B22" s="102" t="str"/>
      <x:c r="C22" s="102" t="str"/>
      <x:c r="D22" s="103"/>
      <x:c r="E22" s="103"/>
      <x:c r="F22" s="103"/>
      <x:c r="G22" s="103"/>
      <x:c r="H22" s="103"/>
      <x:c r="I22" s="103"/>
      <x:c r="J22" s="103"/>
      <x:c r="K22" s="104" t="n">
        <x:f>IFERROR(E22/D22,0)</x:f>
        <x:v>0</x:v>
      </x:c>
      <x:c r="L22" s="104" t="n">
        <x:f>IFERROR(G22/F22,0)</x:f>
        <x:v>0</x:v>
      </x:c>
      <x:c r="M22" s="104" t="n">
        <x:f>IFERROR(J22/E22,0)</x:f>
        <x:v>0</x:v>
      </x:c>
      <x:c r="N22" s="102" t="str"/>
    </x:row>
    <x:row r="23">
      <x:c r="A23" s="101" t="n">
        <x:v>46236</x:v>
      </x:c>
      <x:c r="B23" s="102" t="str"/>
      <x:c r="C23" s="102" t="str"/>
      <x:c r="D23" s="103"/>
      <x:c r="E23" s="103"/>
      <x:c r="F23" s="103"/>
      <x:c r="G23" s="103"/>
      <x:c r="H23" s="103"/>
      <x:c r="I23" s="103"/>
      <x:c r="J23" s="103"/>
      <x:c r="K23" s="104" t="n">
        <x:f>IFERROR(E23/D23,0)</x:f>
        <x:v>0</x:v>
      </x:c>
      <x:c r="L23" s="104" t="n">
        <x:f>IFERROR(G23/F23,0)</x:f>
        <x:v>0</x:v>
      </x:c>
      <x:c r="M23" s="104" t="n">
        <x:f>IFERROR(J23/E23,0)</x:f>
        <x:v>0</x:v>
      </x:c>
      <x:c r="N23" s="102" t="str"/>
    </x:row>
    <x:row r="24">
      <x:c r="A24" s="101" t="n">
        <x:v>46237</x:v>
      </x:c>
      <x:c r="B24" s="102" t="str"/>
      <x:c r="C24" s="102" t="str"/>
      <x:c r="D24" s="103"/>
      <x:c r="E24" s="103"/>
      <x:c r="F24" s="103"/>
      <x:c r="G24" s="103"/>
      <x:c r="H24" s="103"/>
      <x:c r="I24" s="103"/>
      <x:c r="J24" s="103"/>
      <x:c r="K24" s="104" t="n">
        <x:f>IFERROR(E24/D24,0)</x:f>
        <x:v>0</x:v>
      </x:c>
      <x:c r="L24" s="104" t="n">
        <x:f>IFERROR(G24/F24,0)</x:f>
        <x:v>0</x:v>
      </x:c>
      <x:c r="M24" s="104" t="n">
        <x:f>IFERROR(J24/E24,0)</x:f>
        <x:v>0</x:v>
      </x:c>
      <x:c r="N24" s="102" t="str"/>
    </x:row>
    <x:row r="25">
      <x:c r="A25" s="101" t="n">
        <x:v>46238</x:v>
      </x:c>
      <x:c r="B25" s="102" t="str"/>
      <x:c r="C25" s="102" t="str"/>
      <x:c r="D25" s="103"/>
      <x:c r="E25" s="103"/>
      <x:c r="F25" s="103"/>
      <x:c r="G25" s="103"/>
      <x:c r="H25" s="103"/>
      <x:c r="I25" s="103"/>
      <x:c r="J25" s="103"/>
      <x:c r="K25" s="104" t="n">
        <x:f>IFERROR(E25/D25,0)</x:f>
        <x:v>0</x:v>
      </x:c>
      <x:c r="L25" s="104" t="n">
        <x:f>IFERROR(G25/F25,0)</x:f>
        <x:v>0</x:v>
      </x:c>
      <x:c r="M25" s="104" t="n">
        <x:f>IFERROR(J25/E25,0)</x:f>
        <x:v>0</x:v>
      </x:c>
      <x:c r="N25" s="102" t="str"/>
    </x:row>
    <x:row r="26">
      <x:c r="A26" s="101" t="n">
        <x:v>46239</x:v>
      </x:c>
      <x:c r="B26" s="102" t="str"/>
      <x:c r="C26" s="102" t="str"/>
      <x:c r="D26" s="103"/>
      <x:c r="E26" s="103"/>
      <x:c r="F26" s="103"/>
      <x:c r="G26" s="103"/>
      <x:c r="H26" s="103"/>
      <x:c r="I26" s="103"/>
      <x:c r="J26" s="103"/>
      <x:c r="K26" s="104" t="n">
        <x:f>IFERROR(E26/D26,0)</x:f>
        <x:v>0</x:v>
      </x:c>
      <x:c r="L26" s="104" t="n">
        <x:f>IFERROR(G26/F26,0)</x:f>
        <x:v>0</x:v>
      </x:c>
      <x:c r="M26" s="104" t="n">
        <x:f>IFERROR(J26/E26,0)</x:f>
        <x:v>0</x:v>
      </x:c>
      <x:c r="N26" s="102" t="str"/>
    </x:row>
    <x:row r="27">
      <x:c r="A27" s="101" t="n">
        <x:v>46240</x:v>
      </x:c>
      <x:c r="B27" s="102" t="str"/>
      <x:c r="C27" s="102" t="str"/>
      <x:c r="D27" s="103"/>
      <x:c r="E27" s="103"/>
      <x:c r="F27" s="103"/>
      <x:c r="G27" s="103"/>
      <x:c r="H27" s="103"/>
      <x:c r="I27" s="103"/>
      <x:c r="J27" s="103"/>
      <x:c r="K27" s="104" t="n">
        <x:f>IFERROR(E27/D27,0)</x:f>
        <x:v>0</x:v>
      </x:c>
      <x:c r="L27" s="104" t="n">
        <x:f>IFERROR(G27/F27,0)</x:f>
        <x:v>0</x:v>
      </x:c>
      <x:c r="M27" s="104" t="n">
        <x:f>IFERROR(J27/E27,0)</x:f>
        <x:v>0</x:v>
      </x:c>
      <x:c r="N27" s="102" t="str"/>
    </x:row>
    <x:row r="28">
      <x:c r="A28" s="101" t="n">
        <x:v>46241</x:v>
      </x:c>
      <x:c r="B28" s="102" t="str"/>
      <x:c r="C28" s="102" t="str"/>
      <x:c r="D28" s="103"/>
      <x:c r="E28" s="103"/>
      <x:c r="F28" s="103"/>
      <x:c r="G28" s="103"/>
      <x:c r="H28" s="103"/>
      <x:c r="I28" s="103"/>
      <x:c r="J28" s="103"/>
      <x:c r="K28" s="104" t="n">
        <x:f>IFERROR(E28/D28,0)</x:f>
        <x:v>0</x:v>
      </x:c>
      <x:c r="L28" s="104" t="n">
        <x:f>IFERROR(G28/F28,0)</x:f>
        <x:v>0</x:v>
      </x:c>
      <x:c r="M28" s="104" t="n">
        <x:f>IFERROR(J28/E28,0)</x:f>
        <x:v>0</x:v>
      </x:c>
      <x:c r="N28" s="102" t="str"/>
    </x:row>
    <x:row r="29">
      <x:c r="A29" s="101" t="n">
        <x:v>46242</x:v>
      </x:c>
      <x:c r="B29" s="102" t="str"/>
      <x:c r="C29" s="102" t="str"/>
      <x:c r="D29" s="103"/>
      <x:c r="E29" s="103"/>
      <x:c r="F29" s="103"/>
      <x:c r="G29" s="103"/>
      <x:c r="H29" s="103"/>
      <x:c r="I29" s="103"/>
      <x:c r="J29" s="103"/>
      <x:c r="K29" s="104" t="n">
        <x:f>IFERROR(E29/D29,0)</x:f>
        <x:v>0</x:v>
      </x:c>
      <x:c r="L29" s="104" t="n">
        <x:f>IFERROR(G29/F29,0)</x:f>
        <x:v>0</x:v>
      </x:c>
      <x:c r="M29" s="104" t="n">
        <x:f>IFERROR(J29/E29,0)</x:f>
        <x:v>0</x:v>
      </x:c>
      <x:c r="N29" s="102" t="str"/>
    </x:row>
    <x:row r="30">
      <x:c r="A30" s="101" t="n">
        <x:v>46243</x:v>
      </x:c>
      <x:c r="B30" s="102" t="str"/>
      <x:c r="C30" s="102" t="str"/>
      <x:c r="D30" s="103"/>
      <x:c r="E30" s="103"/>
      <x:c r="F30" s="103"/>
      <x:c r="G30" s="103"/>
      <x:c r="H30" s="103"/>
      <x:c r="I30" s="103"/>
      <x:c r="J30" s="103"/>
      <x:c r="K30" s="104" t="n">
        <x:f>IFERROR(E30/D30,0)</x:f>
        <x:v>0</x:v>
      </x:c>
      <x:c r="L30" s="104" t="n">
        <x:f>IFERROR(G30/F30,0)</x:f>
        <x:v>0</x:v>
      </x:c>
      <x:c r="M30" s="104" t="n">
        <x:f>IFERROR(J30/E30,0)</x:f>
        <x:v>0</x:v>
      </x:c>
      <x:c r="N30" s="102" t="str"/>
    </x:row>
    <x:row r="31">
      <x:c r="A31" s="101" t="n">
        <x:v>46244</x:v>
      </x:c>
      <x:c r="B31" s="102" t="str"/>
      <x:c r="C31" s="102" t="str"/>
      <x:c r="D31" s="103"/>
      <x:c r="E31" s="103"/>
      <x:c r="F31" s="103"/>
      <x:c r="G31" s="103"/>
      <x:c r="H31" s="103"/>
      <x:c r="I31" s="103"/>
      <x:c r="J31" s="103"/>
      <x:c r="K31" s="104" t="n">
        <x:f>IFERROR(E31/D31,0)</x:f>
        <x:v>0</x:v>
      </x:c>
      <x:c r="L31" s="104" t="n">
        <x:f>IFERROR(G31/F31,0)</x:f>
        <x:v>0</x:v>
      </x:c>
      <x:c r="M31" s="104" t="n">
        <x:f>IFERROR(J31/E31,0)</x:f>
        <x:v>0</x:v>
      </x:c>
      <x:c r="N31" s="102" t="str"/>
    </x:row>
    <x:row r="32">
      <x:c r="A32" s="101" t="n">
        <x:v>46245</x:v>
      </x:c>
      <x:c r="B32" s="102" t="str"/>
      <x:c r="C32" s="102" t="str"/>
      <x:c r="D32" s="103"/>
      <x:c r="E32" s="103"/>
      <x:c r="F32" s="103"/>
      <x:c r="G32" s="103"/>
      <x:c r="H32" s="103"/>
      <x:c r="I32" s="103"/>
      <x:c r="J32" s="103"/>
      <x:c r="K32" s="104" t="n">
        <x:f>IFERROR(E32/D32,0)</x:f>
        <x:v>0</x:v>
      </x:c>
      <x:c r="L32" s="104" t="n">
        <x:f>IFERROR(G32/F32,0)</x:f>
        <x:v>0</x:v>
      </x:c>
      <x:c r="M32" s="104" t="n">
        <x:f>IFERROR(J32/E32,0)</x:f>
        <x:v>0</x:v>
      </x:c>
      <x:c r="N32" s="102" t="str"/>
    </x:row>
    <x:row r="33">
      <x:c r="A33" s="101" t="n">
        <x:v>46246</x:v>
      </x:c>
      <x:c r="B33" s="102" t="str"/>
      <x:c r="C33" s="102" t="str"/>
      <x:c r="D33" s="103"/>
      <x:c r="E33" s="103"/>
      <x:c r="F33" s="103"/>
      <x:c r="G33" s="103"/>
      <x:c r="H33" s="103"/>
      <x:c r="I33" s="103"/>
      <x:c r="J33" s="103"/>
      <x:c r="K33" s="104" t="n">
        <x:f>IFERROR(E33/D33,0)</x:f>
        <x:v>0</x:v>
      </x:c>
      <x:c r="L33" s="104" t="n">
        <x:f>IFERROR(G33/F33,0)</x:f>
        <x:v>0</x:v>
      </x:c>
      <x:c r="M33" s="104" t="n">
        <x:f>IFERROR(J33/E33,0)</x:f>
        <x:v>0</x:v>
      </x:c>
      <x:c r="N33" s="102" t="str"/>
    </x:row>
    <x:row r="34">
      <x:c r="A34" s="105" t="n">
        <x:v>46247</x:v>
      </x:c>
      <x:c r="B34" s="106" t="str"/>
      <x:c r="C34" s="106" t="str"/>
      <x:c r="D34" s="107"/>
      <x:c r="E34" s="107"/>
      <x:c r="F34" s="107"/>
      <x:c r="G34" s="107"/>
      <x:c r="H34" s="107"/>
      <x:c r="I34" s="107"/>
      <x:c r="J34" s="107"/>
      <x:c r="K34" s="108" t="n">
        <x:f>IFERROR(E34/D34,0)</x:f>
        <x:v>0</x:v>
      </x:c>
      <x:c r="L34" s="108" t="n">
        <x:f>IFERROR(G34/F34,0)</x:f>
        <x:v>0</x:v>
      </x:c>
      <x:c r="M34" s="108" t="n">
        <x:f>IFERROR(J34/E34,0)</x:f>
        <x:v>0</x:v>
      </x:c>
      <x:c r="N34" s="106" t="str"/>
    </x:row>
  </x:sheetData>
  <x:mergeCells>
    <x:mergeCell ref="A1:N2"/>
    <x:mergeCell ref="A3:N3"/>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28" hidden="0" customWidth="1"/>
    <x:col min="2" max="2" width="22" hidden="0" customWidth="1"/>
    <x:col min="3" max="3" width="22" hidden="0" customWidth="1"/>
    <x:col min="4" max="4" width="22" hidden="0" customWidth="1"/>
    <x:col min="5" max="5" width="22" hidden="0" customWidth="1"/>
    <x:col min="6" max="6" width="58" hidden="0" customWidth="1"/>
  </x:cols>
  <x:sheetData>
    <x:row r="1">
      <x:c r="A1" s="3" t="str">
        <x:v>Live Interpreter UTM付き告知URL</x:v>
      </x:c>
      <x:c r="B1" s="3"/>
      <x:c r="C1" s="3"/>
      <x:c r="D1" s="3"/>
      <x:c r="E1" s="3"/>
      <x:c r="F1" s="3"/>
    </x:row>
    <x:row r="2">
      <x:c r="A2" s="3"/>
      <x:c r="B2" s="3"/>
      <x:c r="C2" s="3"/>
      <x:c r="D2" s="3"/>
      <x:c r="E2" s="3"/>
      <x:c r="F2" s="3"/>
    </x:row>
    <x:row r="4">
      <x:c r="A4" s="36" t="str">
        <x:v>基本URL</x:v>
      </x:c>
      <x:c r="B4" s="38" t="str">
        <x:v>https://live-interpreter.shalomworks.tech/</x:v>
      </x:c>
      <x:c r="C4" s="38"/>
      <x:c r="D4" s="38"/>
      <x:c r="E4" s="38"/>
      <x:c r="F4" s="38"/>
    </x:row>
    <x:row r="6">
      <x:c r="A6" s="15" t="str">
        <x:v>用途</x:v>
      </x:c>
      <x:c r="B6" s="16" t="str">
        <x:v>utm_source</x:v>
      </x:c>
      <x:c r="C6" s="16" t="str">
        <x:v>utm_medium</x:v>
      </x:c>
      <x:c r="D6" s="16" t="str">
        <x:v>utm_campaign</x:v>
      </x:c>
      <x:c r="E6" s="16" t="str">
        <x:v>lang</x:v>
      </x:c>
      <x:c r="F6" s="17" t="str">
        <x:v>完成URL</x:v>
      </x:c>
    </x:row>
    <x:row r="7">
      <x:c r="A7" s="18" t="str">
        <x:v>LinkedIn 日本語</x:v>
      </x:c>
      <x:c r="B7" s="18" t="str">
        <x:v>linkedin</x:v>
      </x:c>
      <x:c r="C7" s="18" t="str">
        <x:v>social</x:v>
      </x:c>
      <x:c r="D7" s="18" t="str">
        <x:v>launch_general_ja</x:v>
      </x:c>
      <x:c r="E7" s="18" t="str">
        <x:v>ja</x:v>
      </x:c>
      <x:c r="F7" s="43" t="str">
        <x:f>$B$4&amp;"?lang="&amp;E7&amp;"&amp;utm_source="&amp;B7&amp;"&amp;utm_medium="&amp;C7&amp;"&amp;utm_campaign="&amp;D7</x:f>
        <x:v>https://live-interpreter.shalomworks.tech/?lang=ja&amp;utm_source=linkedin&amp;utm_medium=social&amp;utm_campaign=launch_general_ja</x:v>
      </x:c>
    </x:row>
    <x:row r="8">
      <x:c r="A8" s="19" t="str">
        <x:v>Facebook 日本語</x:v>
      </x:c>
      <x:c r="B8" s="19" t="str">
        <x:v>facebook</x:v>
      </x:c>
      <x:c r="C8" s="19" t="str">
        <x:v>social</x:v>
      </x:c>
      <x:c r="D8" s="19" t="str">
        <x:v>launch_general_ja</x:v>
      </x:c>
      <x:c r="E8" s="19" t="str">
        <x:v>ja</x:v>
      </x:c>
      <x:c r="F8" s="44" t="str">
        <x:f>$B$4&amp;"?lang="&amp;E8&amp;"&amp;utm_source="&amp;B8&amp;"&amp;utm_medium="&amp;C8&amp;"&amp;utm_campaign="&amp;D8</x:f>
        <x:v>https://live-interpreter.shalomworks.tech/?lang=ja&amp;utm_source=facebook&amp;utm_medium=social&amp;utm_campaign=launch_general_ja</x:v>
      </x:c>
    </x:row>
    <x:row r="9">
      <x:c r="A9" s="19" t="str">
        <x:v>Instagram 日本語</x:v>
      </x:c>
      <x:c r="B9" s="19" t="str">
        <x:v>instagram</x:v>
      </x:c>
      <x:c r="C9" s="19" t="str">
        <x:v>social</x:v>
      </x:c>
      <x:c r="D9" s="19" t="str">
        <x:v>launch_demo_ja</x:v>
      </x:c>
      <x:c r="E9" s="19" t="str">
        <x:v>ja</x:v>
      </x:c>
      <x:c r="F9" s="44" t="str">
        <x:f>$B$4&amp;"?lang="&amp;E9&amp;"&amp;utm_source="&amp;B9&amp;"&amp;utm_medium="&amp;C9&amp;"&amp;utm_campaign="&amp;D9</x:f>
        <x:v>https://live-interpreter.shalomworks.tech/?lang=ja&amp;utm_source=instagram&amp;utm_medium=social&amp;utm_campaign=launch_demo_ja</x:v>
      </x:c>
    </x:row>
    <x:row r="10">
      <x:c r="A10" s="19" t="str">
        <x:v>Threads 日本語</x:v>
      </x:c>
      <x:c r="B10" s="19" t="str">
        <x:v>threads</x:v>
      </x:c>
      <x:c r="C10" s="19" t="str">
        <x:v>social</x:v>
      </x:c>
      <x:c r="D10" s="19" t="str">
        <x:v>launch_short_ja</x:v>
      </x:c>
      <x:c r="E10" s="19" t="str">
        <x:v>ja</x:v>
      </x:c>
      <x:c r="F10" s="44" t="str">
        <x:f>$B$4&amp;"?lang="&amp;E10&amp;"&amp;utm_source="&amp;B10&amp;"&amp;utm_medium="&amp;C10&amp;"&amp;utm_campaign="&amp;D10</x:f>
        <x:v>https://live-interpreter.shalomworks.tech/?lang=ja&amp;utm_source=threads&amp;utm_medium=social&amp;utm_campaign=launch_short_ja</x:v>
      </x:c>
    </x:row>
    <x:row r="11">
      <x:c r="A11" s="19" t="str">
        <x:v>X 日本語</x:v>
      </x:c>
      <x:c r="B11" s="19" t="str">
        <x:v>x</x:v>
      </x:c>
      <x:c r="C11" s="19" t="str">
        <x:v>social</x:v>
      </x:c>
      <x:c r="D11" s="19" t="str">
        <x:v>launch_short_ja</x:v>
      </x:c>
      <x:c r="E11" s="19" t="str">
        <x:v>ja</x:v>
      </x:c>
      <x:c r="F11" s="44" t="str">
        <x:f>$B$4&amp;"?lang="&amp;E11&amp;"&amp;utm_source="&amp;B11&amp;"&amp;utm_medium="&amp;C11&amp;"&amp;utm_campaign="&amp;D11</x:f>
        <x:v>https://live-interpreter.shalomworks.tech/?lang=ja&amp;utm_source=x&amp;utm_medium=social&amp;utm_campaign=launch_short_ja</x:v>
      </x:c>
    </x:row>
    <x:row r="12">
      <x:c r="A12" s="19" t="str">
        <x:v>YouTube デモ</x:v>
      </x:c>
      <x:c r="B12" s="19" t="str">
        <x:v>youtube</x:v>
      </x:c>
      <x:c r="C12" s="19" t="str">
        <x:v>video</x:v>
      </x:c>
      <x:c r="D12" s="19" t="str">
        <x:v>launch_demo_global</x:v>
      </x:c>
      <x:c r="E12" s="19" t="str">
        <x:v>en</x:v>
      </x:c>
      <x:c r="F12" s="44" t="str">
        <x:f>$B$4&amp;"?lang="&amp;E12&amp;"&amp;utm_source="&amp;B12&amp;"&amp;utm_medium="&amp;C12&amp;"&amp;utm_campaign="&amp;D12</x:f>
        <x:v>https://live-interpreter.shalomworks.tech/?lang=en&amp;utm_source=youtube&amp;utm_medium=video&amp;utm_campaign=launch_demo_global</x:v>
      </x:c>
    </x:row>
    <x:row r="13">
      <x:c r="A13" s="19" t="str">
        <x:v>LinkedIn English</x:v>
      </x:c>
      <x:c r="B13" s="19" t="str">
        <x:v>linkedin</x:v>
      </x:c>
      <x:c r="C13" s="19" t="str">
        <x:v>social</x:v>
      </x:c>
      <x:c r="D13" s="19" t="str">
        <x:v>launch_general_en</x:v>
      </x:c>
      <x:c r="E13" s="19" t="str">
        <x:v>en</x:v>
      </x:c>
      <x:c r="F13" s="44" t="str">
        <x:f>$B$4&amp;"?lang="&amp;E13&amp;"&amp;utm_source="&amp;B13&amp;"&amp;utm_medium="&amp;C13&amp;"&amp;utm_campaign="&amp;D13</x:f>
        <x:v>https://live-interpreter.shalomworks.tech/?lang=en&amp;utm_source=linkedin&amp;utm_medium=social&amp;utm_campaign=launch_general_en</x:v>
      </x:c>
    </x:row>
    <x:row r="14">
      <x:c r="A14" s="19" t="str">
        <x:v>Facebook English</x:v>
      </x:c>
      <x:c r="B14" s="19" t="str">
        <x:v>facebook</x:v>
      </x:c>
      <x:c r="C14" s="19" t="str">
        <x:v>social</x:v>
      </x:c>
      <x:c r="D14" s="19" t="str">
        <x:v>launch_general_en</x:v>
      </x:c>
      <x:c r="E14" s="19" t="str">
        <x:v>en</x:v>
      </x:c>
      <x:c r="F14" s="44" t="str">
        <x:f>$B$4&amp;"?lang="&amp;E14&amp;"&amp;utm_source="&amp;B14&amp;"&amp;utm_medium="&amp;C14&amp;"&amp;utm_campaign="&amp;D14</x:f>
        <x:v>https://live-interpreter.shalomworks.tech/?lang=en&amp;utm_source=facebook&amp;utm_medium=social&amp;utm_campaign=launch_general_en</x:v>
      </x:c>
    </x:row>
    <x:row r="15">
      <x:c r="A15" s="19" t="str">
        <x:v>Chinese communities</x:v>
      </x:c>
      <x:c r="B15" s="19" t="str">
        <x:v>wechat</x:v>
      </x:c>
      <x:c r="C15" s="19" t="str">
        <x:v>community</x:v>
      </x:c>
      <x:c r="D15" s="19" t="str">
        <x:v>launch_general_zh</x:v>
      </x:c>
      <x:c r="E15" s="19" t="str">
        <x:v>zh-CN</x:v>
      </x:c>
      <x:c r="F15" s="44" t="str">
        <x:f>$B$4&amp;"?lang="&amp;E15&amp;"&amp;utm_source="&amp;B15&amp;"&amp;utm_medium="&amp;C15&amp;"&amp;utm_campaign="&amp;D15</x:f>
        <x:v>https://live-interpreter.shalomworks.tech/?lang=zh-CN&amp;utm_source=wechat&amp;utm_medium=community&amp;utm_campaign=launch_general_zh</x:v>
      </x:c>
    </x:row>
    <x:row r="16">
      <x:c r="A16" s="19" t="str">
        <x:v>イベント個別紹介</x:v>
      </x:c>
      <x:c r="B16" s="19" t="str">
        <x:v>direct_event</x:v>
      </x:c>
      <x:c r="C16" s="19" t="str">
        <x:v>outreach</x:v>
      </x:c>
      <x:c r="D16" s="19" t="str">
        <x:v>event_ja</x:v>
      </x:c>
      <x:c r="E16" s="19" t="str">
        <x:v>ja</x:v>
      </x:c>
      <x:c r="F16" s="44" t="str">
        <x:f>$B$4&amp;"?lang="&amp;E16&amp;"&amp;utm_source="&amp;B16&amp;"&amp;utm_medium="&amp;C16&amp;"&amp;utm_campaign="&amp;D16</x:f>
        <x:v>https://live-interpreter.shalomworks.tech/?lang=ja&amp;utm_source=direct_event&amp;utm_medium=outreach&amp;utm_campaign=event_ja</x:v>
      </x:c>
    </x:row>
    <x:row r="17">
      <x:c r="A17" s="19" t="str">
        <x:v>国際交流・NPO個別紹介</x:v>
      </x:c>
      <x:c r="B17" s="19" t="str">
        <x:v>direct_npo</x:v>
      </x:c>
      <x:c r="C17" s="19" t="str">
        <x:v>outreach</x:v>
      </x:c>
      <x:c r="D17" s="19" t="str">
        <x:v>community_ja</x:v>
      </x:c>
      <x:c r="E17" s="19" t="str">
        <x:v>ja</x:v>
      </x:c>
      <x:c r="F17" s="44" t="str">
        <x:f>$B$4&amp;"?lang="&amp;E17&amp;"&amp;utm_source="&amp;B17&amp;"&amp;utm_medium="&amp;C17&amp;"&amp;utm_campaign="&amp;D17</x:f>
        <x:v>https://live-interpreter.shalomworks.tech/?lang=ja&amp;utm_source=direct_npo&amp;utm_medium=outreach&amp;utm_campaign=community_ja</x:v>
      </x:c>
    </x:row>
    <x:row r="18">
      <x:c r="A18" s="19" t="str">
        <x:v>教育個別紹介</x:v>
      </x:c>
      <x:c r="B18" s="19" t="str">
        <x:v>direct_education</x:v>
      </x:c>
      <x:c r="C18" s="19" t="str">
        <x:v>outreach</x:v>
      </x:c>
      <x:c r="D18" s="19" t="str">
        <x:v>education_ja</x:v>
      </x:c>
      <x:c r="E18" s="19" t="str">
        <x:v>ja</x:v>
      </x:c>
      <x:c r="F18" s="44" t="str">
        <x:f>$B$4&amp;"?lang="&amp;E18&amp;"&amp;utm_source="&amp;B18&amp;"&amp;utm_medium="&amp;C18&amp;"&amp;utm_campaign="&amp;D18</x:f>
        <x:v>https://live-interpreter.shalomworks.tech/?lang=ja&amp;utm_source=direct_education&amp;utm_medium=outreach&amp;utm_campaign=education_ja</x:v>
      </x:c>
    </x:row>
    <x:row r="19">
      <x:c r="A19" s="19" t="str">
        <x:v>信仰コミュニティ個別紹介</x:v>
      </x:c>
      <x:c r="B19" s="19" t="str">
        <x:v>direct_faith</x:v>
      </x:c>
      <x:c r="C19" s="19" t="str">
        <x:v>outreach</x:v>
      </x:c>
      <x:c r="D19" s="19" t="str">
        <x:v>faith_ja</x:v>
      </x:c>
      <x:c r="E19" s="19" t="str">
        <x:v>ja</x:v>
      </x:c>
      <x:c r="F19" s="44" t="str">
        <x:f>$B$4&amp;"?lang="&amp;E19&amp;"&amp;utm_source="&amp;B19&amp;"&amp;utm_medium="&amp;C19&amp;"&amp;utm_campaign="&amp;D19</x:f>
        <x:v>https://live-interpreter.shalomworks.tech/?lang=ja&amp;utm_source=direct_faith&amp;utm_medium=outreach&amp;utm_campaign=faith_ja</x:v>
      </x:c>
    </x:row>
    <x:row r="20">
      <x:c r="A20" s="19" t="str">
        <x:v>Product Hunt</x:v>
      </x:c>
      <x:c r="B20" s="19" t="str">
        <x:v>producthunt</x:v>
      </x:c>
      <x:c r="C20" s="19" t="str">
        <x:v>launch</x:v>
      </x:c>
      <x:c r="D20" s="19" t="str">
        <x:v>product_launch_en</x:v>
      </x:c>
      <x:c r="E20" s="19" t="str">
        <x:v>en</x:v>
      </x:c>
      <x:c r="F20" s="44" t="str">
        <x:f>$B$4&amp;"?lang="&amp;E20&amp;"&amp;utm_source="&amp;B20&amp;"&amp;utm_medium="&amp;C20&amp;"&amp;utm_campaign="&amp;D20</x:f>
        <x:v>https://live-interpreter.shalomworks.tech/?lang=en&amp;utm_source=producthunt&amp;utm_medium=launch&amp;utm_campaign=product_launch_en</x:v>
      </x:c>
    </x:row>
    <x:row r="21">
      <x:c r="A21" s="39" t="str">
        <x:v>Reddit</x:v>
      </x:c>
      <x:c r="B21" s="39" t="str">
        <x:v>reddit</x:v>
      </x:c>
      <x:c r="C21" s="39" t="str">
        <x:v>community</x:v>
      </x:c>
      <x:c r="D21" s="39" t="str">
        <x:v>community_demo_en</x:v>
      </x:c>
      <x:c r="E21" s="39" t="str">
        <x:v>en</x:v>
      </x:c>
      <x:c r="F21" s="45" t="str">
        <x:f>$B$4&amp;"?lang="&amp;E21&amp;"&amp;utm_source="&amp;B21&amp;"&amp;utm_medium="&amp;C21&amp;"&amp;utm_campaign="&amp;D21</x:f>
        <x:v>https://live-interpreter.shalomworks.tech/?lang=en&amp;utm_source=reddit&amp;utm_medium=community&amp;utm_campaign=community_demo_en</x:v>
      </x:c>
    </x:row>
  </x:sheetData>
  <x:mergeCells>
    <x:mergeCell ref="A1:F2"/>
    <x:mergeCell ref="B4:F4"/>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2" hidden="0" customWidth="1"/>
    <x:col min="2" max="2" width="82" hidden="0" customWidth="1"/>
  </x:cols>
  <x:sheetData>
    <x:row r="1">
      <x:c r="A1" s="3" t="str">
        <x:v>Live Interpreter 無料広報 運用ルール</x:v>
      </x:c>
      <x:c r="B1" s="3"/>
      <x:c r="C1" s="3"/>
      <x:c r="D1" s="3"/>
      <x:c r="E1" s="3"/>
      <x:c r="F1" s="3"/>
    </x:row>
    <x:row r="2">
      <x:c r="A2" s="3"/>
      <x:c r="B2" s="3"/>
      <x:c r="C2" s="3"/>
      <x:c r="D2" s="3"/>
      <x:c r="E2" s="3"/>
      <x:c r="F2" s="3"/>
    </x:row>
    <x:row r="4">
      <x:c r="A4" s="15" t="str">
        <x:v>項目</x:v>
      </x:c>
      <x:c r="B4" s="17" t="str">
        <x:v>内容</x:v>
      </x:c>
    </x:row>
    <x:row r="5">
      <x:c r="A5" s="115" t="str">
        <x:v>正式名称</x:v>
      </x:c>
      <x:c r="B5" s="47" t="str">
        <x:v>Live Interpreter（運営ブランド：ShalomWorks）</x:v>
      </x:c>
    </x:row>
    <x:row r="6">
      <x:c r="A6" s="116" t="str">
        <x:v>公開URL</x:v>
      </x:c>
      <x:c r="B6" s="48" t="str">
        <x:v>https://live-interpreter.shalomworks.tech/</x:v>
      </x:c>
    </x:row>
    <x:row r="7">
      <x:c r="A7" s="116" t="str">
        <x:v>広告費</x:v>
      </x:c>
      <x:c r="B7" s="48" t="str">
        <x:v>0円。有料広告は当面行わない。</x:v>
      </x:c>
    </x:row>
    <x:row r="8">
      <x:c r="A8" s="116" t="str">
        <x:v>対象</x:v>
      </x:c>
      <x:c r="B8" s="48" t="str">
        <x:v>教会限定にしない。イベント、国際交流・NPO、教育、信仰・地域コミュニティを利用場面別に届ける。</x:v>
      </x:c>
    </x:row>
    <x:row r="9">
      <x:c r="A9" s="116" t="str">
        <x:v>主な価値</x:v>
      </x:c>
      <x:c r="B9" s="48" t="str">
        <x:v>話すだけ、低遅延の音声通訳、ブラウザーで利用、登録後15分無料。</x:v>
      </x:c>
    </x:row>
    <x:row r="10">
      <x:c r="A10" s="116" t="str">
        <x:v>成果判定</x:v>
      </x:c>
      <x:c r="B10" s="48" t="str">
        <x:v>表示回数やいいね数ではなく、通訳開始数、5分以上利用数、感想、有料購入で判断する。</x:v>
      </x:c>
    </x:row>
    <x:row r="11">
      <x:c r="A11" s="116" t="str">
        <x:v>個別紹介</x:v>
      </x:c>
      <x:c r="B11" s="48" t="str">
        <x:v>一斉送信しない。冒頭の一文を相手の実際の活動に合わせる。追跡は最大1回。</x:v>
      </x:c>
    </x:row>
    <x:row r="12">
      <x:c r="A12" s="116" t="str">
        <x:v>コミュニティ投稿</x:v>
      </x:c>
      <x:c r="B12" s="48" t="str">
        <x:v>必ず管理者の許可またはその場の規則を確認する。</x:v>
      </x:c>
    </x:row>
    <x:row r="13">
      <x:c r="A13" s="116" t="str">
        <x:v>感想掲載</x:v>
      </x:c>
      <x:c r="B13" s="48" t="str">
        <x:v>掲載文、名前・所属の表記、公開場所を提供者に事前確認する。</x:v>
      </x:c>
    </x:row>
    <x:row r="14">
      <x:c r="A14" s="116" t="str">
        <x:v>安全表現</x:v>
      </x:c>
      <x:c r="B14" s="48" t="str">
        <x:v>AI通訳の正確性を保証しない。医療、法律、行政手続、緊急時などの重要判断に人の通訳の代わりとして推奨しない。</x:v>
      </x:c>
    </x:row>
    <x:row r="15">
      <x:c r="A15" s="116" t="str">
        <x:v>UTM</x:v>
      </x:c>
      <x:c r="B15" s="48" t="str">
        <x:v>投稿・紹介ごとに「UTM一覧」のURLを使い、流入元を分ける。</x:v>
      </x:c>
    </x:row>
    <x:row r="16">
      <x:c r="A16" s="117" t="str">
        <x:v>更新日</x:v>
      </x:c>
      <x:c r="B16" s="49" t="str">
        <x:v>2026-07-15</x:v>
      </x:c>
    </x:row>
  </x:sheetData>
  <x:mergeCells>
    <x:mergeCell ref="A1:F2"/>
  </x:mergeCells>
  <x:pageMargins left="0.7" right="0.7" top="0.75" bottom="0.75" header="0.3" footer="0.3"/>
</x:worksheet>
</file>